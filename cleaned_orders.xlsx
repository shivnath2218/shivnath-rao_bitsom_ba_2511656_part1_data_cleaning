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563a7dbdeb1bf4e/Desktop/Capstone_Project_Part1/"/>
    </mc:Choice>
  </mc:AlternateContent>
  <xr:revisionPtr revIDLastSave="198" documentId="8_{0BAB6BD8-1E83-4BD6-887E-8060F10E13F2}" xr6:coauthVersionLast="47" xr6:coauthVersionMax="47" xr10:uidLastSave="{FAC9586E-F7B4-469D-B2DF-BBAF7F72CC06}"/>
  <bookViews>
    <workbookView xWindow="-108" yWindow="-108" windowWidth="23256" windowHeight="12456" firstSheet="2" activeTab="6" xr2:uid="{00000000-000D-0000-FFFF-FFFF00000000}"/>
  </bookViews>
  <sheets>
    <sheet name="Region Sales" sheetId="3" r:id="rId1"/>
    <sheet name="Sales by category" sheetId="4" r:id="rId2"/>
    <sheet name="Profit by state" sheetId="5" r:id="rId3"/>
    <sheet name="Customer segment analysis" sheetId="7" r:id="rId4"/>
    <sheet name="Monthly Sales Trend" sheetId="8" r:id="rId5"/>
    <sheet name="Payment Status" sheetId="9" r:id="rId6"/>
    <sheet name="Dashboard" sheetId="10" r:id="rId7"/>
    <sheet name="raw_orders" sheetId="1" r:id="rId8"/>
    <sheet name="business_rules" sheetId="2" r:id="rId9"/>
  </sheets>
  <definedNames>
    <definedName name="_xlnm._FilterDatabase" localSheetId="7" hidden="1">raw_orders!$A$1:$V$913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</calcChain>
</file>

<file path=xl/sharedStrings.xml><?xml version="1.0" encoding="utf-8"?>
<sst xmlns="http://schemas.openxmlformats.org/spreadsheetml/2006/main" count="11927" uniqueCount="2839">
  <si>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</si>
  <si>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</si>
  <si>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</si>
  <si>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</si>
  <si>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</si>
  <si>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</si>
  <si>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</si>
  <si>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</si>
  <si>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</si>
  <si>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</si>
  <si>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</si>
  <si>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</si>
  <si>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</si>
  <si>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</si>
  <si>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</si>
  <si>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</si>
  <si>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</si>
  <si>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</si>
  <si>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</si>
  <si>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</si>
  <si>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</si>
  <si>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</si>
  <si>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</si>
  <si>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</si>
  <si>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</si>
  <si>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</si>
  <si>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</si>
  <si>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</si>
  <si>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</si>
  <si>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</si>
  <si>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</si>
  <si>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</si>
  <si>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</si>
  <si>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</si>
  <si>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</si>
  <si>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</si>
  <si>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</si>
  <si>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</si>
  <si>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</si>
  <si>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</si>
  <si>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</si>
  <si>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</si>
  <si>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</si>
  <si>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</si>
  <si>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</si>
  <si>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</si>
  <si>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</si>
  <si>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</si>
  <si>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</si>
  <si>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</si>
  <si>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</si>
  <si>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</si>
  <si>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</si>
  <si>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</si>
  <si>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</si>
  <si>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</si>
  <si>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</si>
  <si>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</si>
  <si>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</si>
  <si>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</si>
  <si>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</si>
  <si>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</si>
  <si>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</si>
  <si>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</si>
  <si>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</si>
  <si>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</si>
  <si>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</si>
  <si>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</si>
  <si>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</si>
  <si>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</si>
  <si>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</si>
  <si>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</si>
  <si>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</si>
  <si>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</si>
  <si>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</si>
  <si>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</si>
  <si>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</si>
  <si>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</si>
  <si>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</si>
  <si>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</si>
  <si>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</si>
  <si>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</si>
  <si>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</si>
  <si>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</si>
  <si>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</si>
  <si>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</si>
  <si>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</si>
  <si>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</si>
  <si>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</si>
  <si>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</si>
  <si>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</si>
  <si>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</si>
  <si>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</si>
  <si>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</si>
  <si>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</si>
  <si>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</si>
  <si>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</si>
  <si>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</si>
  <si>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</si>
  <si>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</si>
  <si>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</si>
  <si>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</si>
  <si>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</si>
  <si>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</si>
  <si>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</si>
  <si>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</si>
  <si>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</si>
  <si>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</si>
  <si>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</si>
  <si>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</si>
  <si>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</si>
  <si>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</si>
  <si>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</si>
  <si>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</si>
  <si>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</si>
  <si>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</si>
  <si>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</si>
  <si>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</si>
  <si>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</si>
  <si>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</si>
  <si>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</si>
  <si>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</si>
  <si>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</si>
  <si>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</si>
  <si>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</si>
  <si>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</si>
  <si>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</si>
  <si>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</si>
  <si>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</si>
  <si>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</si>
  <si>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</si>
  <si>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</si>
  <si>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</si>
  <si>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</si>
  <si>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</si>
  <si>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</si>
  <si>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</si>
  <si>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</si>
  <si>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</si>
  <si>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</si>
  <si>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</si>
  <si>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</si>
  <si>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</si>
  <si>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</si>
  <si>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</si>
  <si>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</si>
  <si>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</si>
  <si>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</si>
  <si>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</si>
  <si>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</si>
  <si>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</si>
  <si>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</si>
  <si>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</si>
  <si>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</si>
  <si>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</si>
  <si>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</si>
  <si>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</si>
  <si>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</si>
  <si>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</si>
  <si>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</si>
  <si>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</si>
  <si>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</si>
  <si>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</si>
  <si>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</si>
  <si>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</si>
  <si>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</si>
  <si>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</si>
  <si>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</si>
  <si>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</si>
  <si>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</si>
  <si>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</si>
  <si>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</si>
  <si>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</si>
  <si>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</si>
  <si>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</si>
  <si>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</si>
  <si>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</si>
  <si>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</si>
  <si>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</si>
  <si>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</si>
  <si>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</si>
  <si>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</si>
  <si>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</si>
  <si>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</si>
  <si>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</si>
  <si>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</si>
  <si>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</si>
  <si>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</si>
  <si>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</si>
  <si>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</si>
  <si>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</si>
  <si>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</si>
  <si>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</si>
  <si>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</si>
  <si>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</si>
  <si>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</si>
  <si>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</si>
  <si>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</si>
  <si>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</si>
  <si>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</si>
  <si>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</si>
  <si>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</si>
  <si>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</si>
  <si>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</si>
  <si>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</si>
  <si>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</si>
  <si>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</si>
  <si>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</si>
  <si>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</si>
  <si>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</si>
  <si>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</si>
  <si>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</si>
  <si>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</si>
  <si>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</si>
  <si>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</si>
  <si>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</si>
  <si>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</si>
  <si>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</si>
  <si>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</si>
  <si>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</si>
  <si>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</si>
  <si>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</si>
  <si>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</si>
  <si>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</si>
  <si>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</si>
  <si>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</si>
  <si>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</si>
  <si>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</si>
  <si>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</si>
  <si>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</si>
  <si>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</si>
  <si>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</si>
  <si>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</si>
  <si>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</si>
  <si>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</si>
  <si>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</si>
  <si>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</si>
  <si>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</si>
  <si>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</si>
  <si>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</si>
  <si>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</si>
  <si>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</si>
  <si>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</si>
  <si>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</si>
  <si>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</si>
  <si>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</si>
  <si>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</si>
  <si>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</si>
  <si>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</si>
  <si>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</si>
  <si>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</si>
  <si>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</si>
  <si>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</si>
  <si>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</si>
  <si>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</si>
  <si>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</si>
  <si>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</si>
  <si>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</si>
  <si>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</si>
  <si>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</si>
  <si>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</si>
  <si>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</si>
  <si>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</si>
  <si>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</si>
  <si>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</si>
  <si>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</si>
  <si>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</si>
  <si>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</si>
  <si>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</si>
  <si>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</si>
  <si>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</si>
  <si>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</si>
  <si>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</si>
  <si>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</si>
  <si>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</si>
  <si>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</si>
  <si>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</si>
  <si>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</si>
  <si>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</si>
  <si>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</si>
  <si>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</si>
  <si>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</si>
  <si>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</si>
  <si>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</si>
  <si>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</si>
  <si>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</si>
  <si>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</si>
  <si>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</si>
  <si>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</si>
  <si>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</si>
  <si>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</si>
  <si>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</si>
  <si>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</si>
  <si>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</si>
  <si>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</si>
  <si>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</si>
  <si>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</si>
  <si>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</si>
  <si>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</si>
  <si>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</si>
  <si>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</si>
  <si>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</si>
  <si>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</si>
  <si>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</si>
  <si>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</si>
  <si>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</si>
  <si>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</si>
  <si>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</si>
  <si>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</si>
  <si>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</si>
  <si>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</si>
  <si>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</si>
  <si>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</si>
  <si>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</si>
  <si>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</si>
  <si>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</si>
  <si>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</si>
  <si>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</si>
  <si>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</si>
  <si>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</si>
  <si>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</si>
  <si>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</si>
  <si>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</si>
  <si>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</si>
  <si>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</si>
  <si>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</si>
  <si>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</si>
  <si>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</si>
  <si>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</si>
  <si>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</si>
  <si>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</si>
  <si>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</si>
  <si>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</si>
  <si>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</si>
  <si>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</si>
  <si>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</si>
  <si>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</si>
  <si>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</si>
  <si>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</si>
  <si>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</si>
  <si>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</si>
  <si>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</si>
  <si>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</si>
  <si>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</si>
  <si>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</si>
  <si>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</si>
  <si>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</si>
  <si>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</si>
  <si>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</si>
  <si>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</si>
  <si>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</si>
  <si>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</si>
  <si>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</si>
  <si>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</si>
  <si>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</si>
  <si>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</si>
  <si>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</si>
  <si>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</si>
  <si>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</si>
  <si>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</si>
  <si>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</si>
  <si>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</si>
  <si>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</si>
  <si>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</si>
  <si>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</si>
  <si>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</si>
  <si>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</si>
  <si>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</si>
  <si>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</si>
  <si>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</si>
  <si>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</si>
  <si>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</si>
  <si>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</si>
  <si>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</si>
  <si>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</si>
  <si>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</si>
  <si>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</si>
  <si>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</si>
  <si>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</si>
  <si>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</si>
  <si>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</si>
  <si>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</si>
  <si>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</si>
  <si>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</si>
  <si>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</si>
  <si>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</si>
  <si>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</si>
  <si>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</si>
  <si>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</si>
  <si>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</si>
  <si>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</si>
  <si>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</si>
  <si>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</si>
  <si>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</si>
  <si>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</si>
  <si>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</si>
  <si>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</si>
  <si>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</si>
  <si>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</si>
  <si>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</si>
  <si>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</si>
  <si>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</si>
  <si>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</si>
  <si>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</si>
  <si>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</si>
  <si>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</si>
  <si>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</si>
  <si>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</si>
  <si>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</si>
  <si>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</si>
  <si>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</si>
  <si>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</si>
  <si>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</si>
  <si>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</si>
  <si>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</si>
  <si>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</si>
  <si>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</si>
  <si>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</si>
  <si>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</si>
  <si>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</si>
  <si>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</si>
  <si>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</si>
  <si>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</si>
  <si>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</si>
  <si>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</si>
  <si>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</si>
  <si>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</si>
  <si>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</si>
  <si>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</si>
  <si>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</si>
  <si>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</si>
  <si>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</si>
  <si>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</si>
  <si>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</si>
  <si>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</si>
  <si>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</si>
  <si>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</si>
  <si>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</si>
  <si>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</si>
  <si>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</si>
  <si>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</si>
  <si>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</si>
  <si>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</si>
  <si>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</si>
  <si>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</si>
  <si>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</si>
  <si>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</si>
  <si>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</si>
  <si>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</si>
  <si>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</si>
  <si>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</si>
  <si>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</si>
  <si>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</si>
  <si>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</si>
  <si>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</si>
  <si>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</si>
  <si>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</si>
  <si>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</si>
  <si>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</si>
  <si>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</si>
  <si>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</si>
  <si>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</si>
  <si>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</si>
  <si>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</si>
  <si>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</si>
  <si>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</si>
  <si>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</si>
  <si>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</si>
  <si>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</si>
  <si>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</si>
  <si>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</si>
  <si>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</si>
  <si>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</si>
  <si>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</si>
  <si>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</si>
  <si>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</si>
  <si>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</si>
  <si>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</si>
  <si>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</si>
  <si>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</si>
  <si>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</si>
  <si>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</si>
  <si>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</si>
  <si>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</si>
  <si>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</si>
  <si>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</si>
  <si>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</si>
  <si>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</si>
  <si>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</si>
  <si>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</si>
  <si>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</si>
  <si>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</si>
  <si>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</si>
  <si>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</si>
  <si>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</si>
  <si>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</si>
  <si>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</si>
  <si>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</si>
  <si>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</si>
  <si>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</si>
  <si>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</si>
  <si>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</si>
  <si>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</si>
  <si>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</si>
  <si>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</si>
  <si>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</si>
  <si>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</si>
  <si>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</si>
  <si>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</si>
  <si>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</si>
  <si>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</si>
  <si>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</si>
  <si>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</si>
  <si>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</si>
  <si>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</si>
  <si>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</si>
  <si>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</si>
  <si>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</si>
  <si>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</si>
  <si>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</si>
  <si>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</si>
  <si>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</si>
  <si>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</si>
  <si>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</si>
  <si>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</si>
  <si>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</si>
  <si>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</si>
  <si>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</si>
  <si>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</si>
  <si>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</si>
  <si>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</si>
  <si>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</si>
  <si>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</si>
  <si>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</si>
  <si>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</si>
  <si>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</si>
  <si>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</si>
  <si>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</si>
  <si>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</si>
  <si>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</si>
  <si>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</si>
  <si>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</si>
  <si>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</si>
  <si>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</si>
  <si>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</si>
  <si>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</si>
  <si>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</si>
  <si>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</si>
  <si>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</si>
  <si>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</si>
  <si>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</si>
  <si>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</si>
  <si>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</si>
  <si>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</si>
  <si>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</si>
  <si>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</si>
  <si>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</si>
  <si>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</si>
  <si>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</si>
  <si>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</si>
  <si>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</si>
  <si>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</si>
  <si>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</si>
  <si>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</si>
  <si>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</si>
  <si>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</si>
  <si>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</si>
  <si>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</si>
  <si>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</si>
  <si>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</si>
  <si>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</si>
  <si>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</si>
  <si>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</si>
  <si>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</si>
  <si>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</si>
  <si>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</si>
  <si>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</si>
  <si>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</si>
  <si>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</si>
  <si>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</si>
  <si>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</si>
  <si>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</si>
  <si>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</si>
  <si>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</si>
  <si>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</si>
  <si>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</si>
  <si>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</si>
  <si>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</si>
  <si>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</si>
  <si>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</si>
  <si>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</si>
  <si>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</si>
  <si>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</si>
  <si>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</si>
  <si>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</si>
  <si>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</si>
  <si>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</si>
  <si>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</si>
  <si>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</si>
  <si>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</si>
  <si>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</si>
  <si>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</si>
  <si>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</si>
  <si>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</si>
  <si>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</si>
  <si>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</si>
  <si>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</si>
  <si>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</si>
  <si>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</si>
  <si>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</si>
  <si>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</si>
  <si>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</si>
  <si>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</si>
  <si>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</si>
  <si>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</si>
  <si>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</si>
  <si>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</si>
  <si>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</si>
  <si>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</si>
  <si>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</si>
  <si>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</si>
  <si>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</si>
  <si>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</si>
  <si>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</si>
  <si>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</si>
  <si>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</si>
  <si>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</si>
  <si>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</si>
  <si>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</si>
  <si>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</si>
  <si>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</si>
  <si>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</si>
  <si>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</si>
  <si>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</si>
  <si>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</si>
  <si>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</si>
  <si>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</si>
  <si>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</si>
  <si>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</si>
  <si>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</si>
  <si>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</si>
  <si>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</si>
  <si>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</si>
  <si>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</si>
  <si>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</si>
  <si>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</si>
  <si>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</si>
  <si>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</si>
  <si>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</si>
  <si>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</si>
  <si>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</si>
  <si>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</si>
  <si>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</si>
  <si>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</si>
  <si>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</si>
  <si>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</si>
  <si>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</si>
  <si>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</si>
  <si>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</si>
  <si>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</si>
  <si>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</si>
  <si>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</si>
  <si>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</si>
  <si>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</si>
  <si>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</si>
  <si>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</si>
  <si>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</si>
  <si>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</si>
  <si>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</si>
  <si>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</si>
  <si>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</si>
  <si>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</si>
  <si>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</si>
  <si>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</si>
  <si>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</si>
  <si>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</si>
  <si>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</si>
  <si>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</si>
  <si>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</si>
  <si>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</si>
  <si>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</si>
  <si>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</si>
  <si>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</si>
  <si>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</si>
  <si>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</si>
  <si>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</si>
  <si>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</si>
  <si>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</si>
  <si>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</si>
  <si>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</si>
  <si>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</si>
  <si>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</si>
  <si>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</si>
  <si>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</si>
  <si>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</si>
  <si>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</si>
  <si>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</si>
  <si>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</si>
  <si>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</si>
  <si>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</si>
  <si>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</si>
  <si>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</si>
  <si>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</si>
  <si>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</si>
  <si>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</si>
  <si>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</si>
  <si>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</si>
  <si>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</si>
  <si>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</si>
  <si>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</si>
  <si>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</si>
  <si>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</si>
  <si>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</si>
  <si>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</si>
  <si>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</si>
  <si>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</si>
  <si>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</si>
  <si>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</si>
  <si>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</si>
  <si>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</si>
  <si>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</si>
  <si>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</si>
  <si>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</si>
  <si>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</si>
  <si>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</si>
  <si>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</si>
  <si>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</si>
  <si>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</si>
  <si>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</si>
  <si>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</si>
  <si>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</si>
  <si>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</si>
  <si>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</si>
  <si>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</si>
  <si>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</si>
  <si>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</si>
  <si>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</si>
  <si>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</si>
  <si>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</si>
  <si>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</si>
  <si>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</si>
  <si>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</si>
  <si>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</si>
  <si>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</si>
  <si>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</si>
  <si>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</si>
  <si>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</si>
  <si>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</si>
  <si>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</si>
  <si>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</si>
  <si>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</si>
  <si>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</si>
  <si>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</si>
  <si>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</si>
  <si>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</si>
  <si>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</si>
  <si>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</si>
  <si>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</si>
  <si>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</si>
  <si>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</si>
  <si>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</si>
  <si>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</si>
  <si>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</si>
  <si>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</si>
  <si>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</si>
  <si>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</si>
  <si>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</si>
  <si>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</si>
  <si>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</si>
  <si>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</si>
  <si>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</si>
  <si>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</si>
  <si>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</si>
  <si>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</si>
  <si>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</si>
  <si>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</si>
  <si>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</si>
  <si>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</si>
  <si>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</si>
  <si>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</si>
  <si>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</si>
  <si>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</si>
  <si>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</si>
  <si>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</si>
  <si>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</si>
  <si>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</si>
  <si>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</si>
  <si>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</si>
  <si>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</si>
  <si>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</si>
  <si>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</si>
  <si>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</si>
  <si>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</si>
  <si>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</si>
  <si>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</si>
  <si>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</si>
  <si>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</si>
  <si>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</si>
  <si>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</si>
  <si>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</si>
  <si>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</si>
  <si>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</si>
  <si>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</si>
  <si>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</si>
  <si>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</si>
  <si>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</si>
  <si>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</si>
  <si>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</si>
  <si>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</si>
  <si>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</si>
  <si>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</si>
  <si>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</si>
  <si>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</si>
  <si>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</si>
  <si>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</si>
  <si>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</si>
  <si>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</si>
  <si>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</si>
  <si>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</si>
  <si>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</si>
  <si>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</si>
  <si>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</si>
  <si>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</si>
  <si>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</si>
  <si>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</si>
  <si>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</si>
  <si>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</si>
  <si>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</si>
  <si>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</si>
  <si>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</si>
  <si>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</si>
  <si>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</si>
  <si>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</si>
  <si>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</si>
  <si>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</si>
  <si>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</si>
  <si>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</si>
  <si>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</si>
  <si>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</si>
  <si>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</si>
  <si>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</si>
  <si>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</si>
  <si>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</si>
  <si>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</si>
  <si>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</si>
  <si>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</si>
  <si>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</si>
  <si>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</si>
  <si>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</si>
  <si>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</si>
  <si>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</si>
  <si>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</si>
  <si>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</si>
  <si>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</si>
  <si>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</si>
  <si>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</si>
  <si>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</si>
  <si>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</si>
  <si>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</si>
  <si>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</si>
  <si>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</si>
  <si>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</si>
  <si>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</si>
  <si>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</si>
  <si>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</si>
  <si>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</si>
  <si>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</si>
  <si>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</si>
  <si>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</si>
  <si>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</si>
  <si>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</si>
  <si>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</si>
  <si>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</si>
  <si>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</si>
  <si>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</si>
  <si>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</si>
  <si>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</si>
  <si>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</si>
  <si>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</si>
  <si>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</si>
  <si>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</si>
  <si>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</si>
  <si>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</si>
  <si>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</si>
  <si>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</si>
  <si>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</si>
  <si>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</si>
  <si>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</si>
  <si>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</si>
  <si>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</si>
  <si>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</si>
  <si>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</si>
  <si>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</si>
  <si>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</si>
  <si>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</si>
  <si>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</si>
  <si>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</si>
  <si>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</si>
  <si>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</si>
  <si>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</si>
  <si>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</si>
  <si>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</si>
  <si>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</si>
  <si>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</si>
  <si>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</si>
  <si>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</si>
  <si>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</si>
  <si>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</si>
  <si>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</si>
  <si>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</si>
  <si>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</si>
  <si>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</si>
  <si>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</si>
  <si>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</si>
  <si>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</si>
  <si>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</si>
  <si>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</si>
  <si>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</si>
  <si>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</si>
  <si>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</si>
  <si>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</si>
  <si>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</si>
  <si>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</si>
  <si>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</si>
  <si>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</si>
  <si>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</si>
  <si>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</si>
  <si>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</si>
  <si>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</si>
  <si>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</si>
  <si>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</si>
  <si>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</si>
  <si>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</si>
  <si>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</si>
  <si>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</si>
  <si>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</si>
  <si>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</si>
  <si>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</si>
  <si>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</si>
  <si>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</si>
  <si>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</si>
  <si>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</si>
  <si>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</si>
  <si>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</si>
  <si>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</si>
  <si>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</si>
  <si>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</si>
  <si>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</si>
  <si>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</si>
  <si>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</si>
  <si>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</si>
  <si>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</si>
  <si>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</si>
  <si>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</si>
  <si>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</si>
  <si>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</si>
  <si>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</si>
  <si>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</si>
  <si>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</si>
  <si>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</si>
  <si>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</si>
  <si>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</si>
  <si>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</si>
  <si>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</si>
  <si>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</si>
  <si>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</si>
  <si>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</si>
  <si>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</si>
  <si>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</si>
  <si>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</si>
  <si>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</si>
  <si>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</si>
  <si>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</si>
  <si>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</si>
  <si>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</si>
  <si>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</si>
  <si>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</si>
  <si>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</si>
  <si>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</si>
  <si>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</si>
  <si>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</si>
  <si>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</si>
  <si>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</si>
  <si>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</si>
  <si>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</si>
  <si>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</si>
  <si>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</si>
  <si>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</si>
  <si>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</si>
  <si>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</si>
  <si>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</si>
  <si>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</si>
  <si>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</si>
  <si>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</si>
  <si>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</si>
  <si>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</si>
  <si>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</si>
  <si>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</si>
  <si>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</si>
  <si>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</si>
  <si>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</si>
  <si>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</si>
  <si>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</si>
  <si>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</si>
  <si>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</si>
  <si>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</si>
  <si>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</si>
  <si>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</si>
  <si>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</si>
  <si>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</si>
  <si>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</si>
  <si>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</si>
  <si>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</si>
  <si>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</si>
  <si>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</si>
  <si>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</si>
  <si>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</si>
  <si>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</si>
  <si>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</si>
  <si>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</si>
  <si>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</si>
  <si>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</si>
  <si>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</si>
  <si>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</si>
  <si>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</si>
  <si>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</si>
  <si>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</si>
  <si>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</si>
  <si>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</si>
  <si>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</si>
  <si>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</si>
  <si>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</si>
  <si>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</si>
  <si>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</si>
  <si>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</si>
  <si>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</si>
  <si>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</si>
  <si>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</si>
  <si>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</si>
  <si>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</si>
  <si>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</si>
  <si>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</si>
  <si>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</si>
  <si>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</si>
  <si>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</si>
  <si>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</si>
  <si>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</si>
  <si>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</si>
  <si>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</si>
  <si>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</si>
  <si>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</si>
  <si>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</si>
  <si>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</si>
  <si>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</si>
  <si>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</si>
  <si>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</si>
  <si>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</si>
  <si>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</si>
  <si>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</si>
  <si>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</si>
  <si>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</si>
  <si>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</si>
  <si>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</si>
  <si>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</si>
  <si>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</si>
  <si>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</si>
  <si>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</si>
  <si>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</si>
  <si>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</si>
  <si>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</si>
  <si>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</si>
  <si>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</si>
  <si>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</si>
  <si>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</si>
  <si>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</si>
  <si>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</si>
  <si>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</si>
  <si>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</si>
  <si>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</si>
  <si>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</si>
  <si>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</si>
  <si>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</si>
  <si>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</si>
  <si>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</si>
  <si>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</si>
  <si>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</si>
  <si>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</si>
  <si>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</si>
  <si>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</si>
  <si>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</si>
  <si>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</si>
  <si>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</si>
  <si>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</si>
  <si>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</si>
  <si>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</si>
  <si>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</si>
  <si>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</si>
  <si>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</si>
  <si>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</si>
  <si>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</si>
  <si>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</si>
  <si>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</si>
  <si>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</si>
  <si>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</si>
  <si>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</si>
  <si>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</si>
  <si>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</si>
  <si>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</si>
  <si>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</si>
  <si>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</si>
  <si>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</si>
  <si>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</si>
  <si>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</si>
  <si>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</si>
  <si>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</si>
  <si>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</si>
  <si>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</si>
  <si>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</si>
  <si>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</si>
  <si>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</si>
  <si>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</si>
  <si>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</si>
  <si>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</si>
  <si>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</si>
  <si>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</si>
  <si>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</si>
  <si>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</si>
  <si>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</si>
  <si>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</si>
  <si>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</si>
  <si>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</si>
  <si>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</si>
  <si>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</si>
  <si>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</si>
  <si>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</si>
  <si>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</si>
  <si>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</si>
  <si>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</si>
  <si>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</si>
  <si>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</si>
  <si>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</si>
  <si>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</si>
  <si>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</si>
  <si>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</si>
  <si>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</si>
  <si>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</si>
  <si>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</si>
  <si>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</si>
  <si>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</si>
  <si>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</si>
  <si>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</si>
  <si>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</si>
  <si>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</si>
  <si>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</si>
  <si>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</si>
  <si>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</si>
  <si>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</si>
  <si>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</si>
  <si>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</si>
  <si>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</si>
  <si>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</si>
  <si>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</si>
  <si>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</si>
  <si>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</si>
  <si>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</si>
  <si>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</si>
  <si>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</si>
  <si>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</si>
  <si>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</si>
  <si>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</si>
  <si>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</si>
  <si>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</si>
  <si>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</si>
  <si>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</si>
  <si>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</si>
  <si>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</si>
  <si>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</si>
  <si>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</si>
  <si>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</si>
  <si>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</si>
  <si>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</si>
  <si>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</si>
  <si>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</si>
  <si>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</si>
  <si>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</si>
  <si>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</si>
  <si>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</si>
  <si>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</si>
  <si>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</si>
  <si>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</si>
  <si>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</si>
  <si>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</si>
  <si>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</si>
  <si>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</si>
  <si>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</si>
  <si>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</si>
  <si>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</si>
  <si>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</si>
  <si>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</si>
  <si>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</si>
  <si>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</si>
  <si>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</si>
  <si>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</si>
  <si>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</si>
  <si>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</si>
  <si>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</si>
  <si>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</si>
  <si>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</si>
  <si>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</si>
  <si>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</si>
  <si>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</si>
  <si>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</si>
  <si>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</si>
  <si>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</si>
  <si>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</si>
  <si>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</si>
  <si>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</si>
  <si>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</si>
  <si>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</si>
  <si>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</si>
  <si>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</si>
  <si>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</si>
  <si>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</si>
  <si>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</si>
  <si>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</si>
  <si>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</si>
  <si>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</si>
  <si>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</si>
  <si>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</si>
  <si>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</si>
  <si>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</si>
  <si>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</si>
  <si>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</si>
  <si>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</si>
  <si>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</si>
  <si>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</si>
  <si>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</si>
  <si>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</si>
  <si>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</si>
  <si>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</si>
  <si>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</si>
  <si>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</si>
  <si>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</si>
  <si>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</si>
  <si>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</si>
  <si>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</si>
  <si>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</si>
  <si>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</si>
  <si>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</si>
  <si>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</si>
  <si>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</si>
  <si>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</si>
  <si>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</si>
  <si>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</si>
  <si>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</si>
  <si>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</si>
  <si>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</si>
  <si>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</si>
  <si>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</si>
  <si>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</si>
  <si>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</si>
  <si>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</si>
  <si>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</si>
  <si>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</si>
  <si>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</si>
  <si>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</si>
  <si>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</si>
  <si>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</si>
  <si>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</si>
  <si>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</si>
  <si>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</si>
  <si>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</si>
  <si>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</si>
  <si>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</si>
  <si>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</si>
  <si>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</si>
  <si>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</si>
  <si>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</si>
  <si>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</si>
  <si>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</si>
  <si>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</si>
  <si>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</si>
  <si>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</si>
  <si>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</si>
  <si>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</si>
  <si>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</si>
  <si>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</si>
  <si>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</si>
  <si>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</si>
  <si>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</si>
  <si>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</si>
  <si>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</si>
  <si>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</si>
  <si>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</si>
  <si>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</si>
  <si>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</si>
  <si>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</si>
  <si>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</si>
  <si>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</si>
  <si>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</si>
  <si>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</si>
  <si>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</si>
  <si>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</si>
  <si>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</si>
  <si>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</si>
  <si>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</si>
  <si>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</si>
  <si>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</si>
  <si>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</si>
  <si>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</si>
  <si>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</si>
  <si>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</si>
  <si>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</si>
  <si>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</si>
  <si>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</si>
  <si>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</si>
  <si>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</si>
  <si>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</si>
  <si>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</si>
  <si>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</si>
  <si>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</si>
  <si>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</si>
  <si>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</si>
  <si>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</si>
  <si>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</si>
  <si>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</si>
  <si>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</si>
  <si>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</si>
  <si>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</si>
  <si>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</si>
  <si>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</si>
  <si>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</si>
  <si>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</si>
  <si>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</si>
  <si>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</si>
  <si>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</si>
  <si>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</si>
  <si>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</si>
  <si>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</si>
  <si>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</si>
  <si>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</si>
  <si>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</si>
  <si>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</si>
  <si>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</si>
  <si>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</si>
  <si>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</si>
  <si>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</si>
  <si>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</si>
  <si>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</si>
  <si>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</si>
  <si>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</si>
  <si>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</si>
  <si>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</si>
  <si>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</si>
  <si>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</si>
  <si>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</si>
  <si>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</si>
  <si>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</si>
  <si>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</si>
  <si>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</si>
  <si>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</si>
  <si>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</si>
  <si>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</si>
  <si>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</si>
  <si>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</si>
  <si>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</si>
  <si>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</si>
  <si>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</si>
  <si>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</si>
  <si>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</si>
  <si>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</si>
  <si>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</si>
  <si>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</si>
  <si>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</si>
  <si>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</si>
  <si>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</si>
  <si>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</si>
  <si>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</si>
  <si>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</si>
  <si>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</si>
  <si>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</si>
  <si>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</si>
  <si>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</si>
  <si>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</si>
  <si>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</si>
  <si>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</si>
  <si>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</si>
  <si>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</si>
  <si>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</si>
  <si>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</si>
  <si>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</si>
  <si>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</si>
  <si>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</si>
  <si>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</si>
  <si>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</si>
  <si>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</si>
  <si>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</si>
  <si>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</si>
  <si>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</si>
  <si>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</si>
  <si>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</si>
  <si>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</si>
  <si>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</si>
  <si>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</si>
  <si>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</si>
  <si>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</si>
  <si>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</si>
  <si>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</si>
  <si>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</si>
  <si>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</si>
  <si>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</si>
  <si>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</si>
  <si>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</si>
  <si>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</si>
  <si>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</si>
  <si>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</si>
  <si>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</si>
  <si>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</si>
  <si>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</si>
  <si>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</si>
  <si>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</si>
  <si>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</si>
  <si>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</si>
  <si>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</si>
  <si>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</si>
  <si>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</si>
  <si>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</si>
  <si>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</si>
  <si>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</si>
  <si>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</si>
  <si>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</si>
  <si>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</si>
  <si>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</si>
  <si>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</si>
  <si>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</si>
  <si>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</si>
  <si>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</si>
  <si>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</si>
  <si>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</si>
  <si>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</si>
  <si>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</si>
  <si>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</si>
  <si>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</si>
  <si>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</si>
  <si>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</si>
  <si>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</si>
  <si>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</si>
  <si>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</si>
  <si>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</si>
  <si>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</si>
  <si>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</si>
  <si>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</si>
  <si>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</si>
  <si>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</si>
  <si>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</si>
  <si>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</si>
  <si>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</si>
  <si>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</si>
  <si>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</si>
  <si>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</si>
  <si>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</si>
  <si>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</si>
  <si>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</si>
  <si>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</si>
  <si>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</si>
  <si>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</si>
  <si>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</si>
  <si>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</si>
  <si>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</si>
  <si>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</si>
  <si>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</si>
  <si>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</si>
  <si>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</si>
  <si>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</si>
  <si>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</si>
  <si>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</si>
  <si>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</si>
  <si>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</si>
  <si>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</si>
  <si>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</si>
  <si>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</si>
  <si>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</si>
  <si>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</si>
  <si>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</si>
  <si>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</si>
  <si>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</si>
  <si>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</si>
  <si>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</si>
  <si>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</si>
  <si>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</si>
  <si>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</si>
  <si>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</si>
  <si>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</si>
  <si>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</si>
  <si>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</si>
  <si>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</si>
  <si>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</si>
  <si>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</si>
  <si>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</si>
  <si>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</si>
  <si>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</si>
  <si>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</si>
  <si>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</si>
  <si>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</si>
  <si>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</si>
  <si>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</si>
  <si>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</si>
  <si>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</si>
  <si>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</si>
  <si>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</si>
  <si>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</si>
  <si>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</si>
  <si>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</si>
  <si>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</si>
  <si>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</si>
  <si>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</si>
  <si>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</si>
  <si>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</si>
  <si>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</si>
  <si>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</si>
  <si>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</si>
  <si>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</si>
  <si>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</si>
  <si>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</si>
  <si>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</si>
  <si>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</si>
  <si>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</si>
  <si>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</si>
  <si>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</si>
  <si>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</si>
  <si>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</si>
  <si>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</si>
  <si>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</si>
  <si>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</si>
  <si>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</si>
  <si>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</si>
  <si>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</si>
  <si>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</si>
  <si>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</si>
  <si>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</si>
  <si>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</si>
  <si>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</si>
  <si>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</si>
  <si>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</si>
  <si>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</si>
  <si>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</si>
  <si>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</si>
  <si>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</si>
  <si>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</si>
  <si>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</si>
  <si>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</si>
  <si>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</si>
  <si>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</si>
  <si>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</si>
  <si>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</si>
  <si>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</si>
  <si>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</si>
  <si>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</si>
  <si>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</si>
  <si>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</si>
  <si>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</si>
  <si>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</si>
  <si>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</si>
  <si>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</si>
  <si>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</si>
  <si>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</si>
  <si>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</si>
  <si>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</si>
  <si>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</si>
  <si>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</si>
  <si>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</si>
  <si>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</si>
  <si>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</si>
  <si>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</si>
  <si>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</si>
  <si>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</si>
  <si>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</si>
  <si>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</si>
  <si>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</si>
  <si>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</si>
  <si>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</si>
  <si>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</si>
  <si>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</si>
  <si>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</si>
  <si>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</si>
  <si>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</si>
  <si>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</si>
  <si>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</si>
  <si>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</si>
  <si>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</si>
  <si>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</si>
  <si>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</si>
  <si>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</si>
  <si>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</si>
  <si>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</si>
  <si>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</si>
  <si>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</si>
  <si>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</si>
  <si>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</si>
  <si>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</si>
  <si>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</si>
  <si>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</si>
  <si>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</si>
  <si>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</si>
  <si>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</si>
  <si>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</si>
  <si>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</si>
  <si>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</si>
  <si>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</si>
  <si>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</si>
  <si>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</si>
  <si>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</si>
  <si>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</si>
  <si>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</si>
  <si>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</si>
  <si>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</si>
  <si>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</si>
  <si>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</si>
  <si>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</si>
  <si>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</si>
  <si>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</si>
  <si>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</si>
  <si>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</si>
  <si>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</si>
  <si>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</si>
  <si>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</si>
  <si>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</si>
  <si>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</si>
  <si>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</si>
  <si>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</si>
  <si>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</si>
  <si>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</si>
  <si>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</si>
  <si>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</si>
  <si>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</si>
  <si>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</si>
  <si>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</si>
  <si>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</si>
  <si>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</si>
  <si>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</si>
  <si>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</si>
  <si>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</si>
  <si>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</si>
  <si>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</si>
  <si>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</si>
  <si>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</si>
  <si>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</si>
  <si>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</si>
  <si>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</si>
  <si>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</si>
  <si>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</si>
  <si>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</si>
  <si>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</si>
  <si>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</si>
  <si>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</si>
  <si>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</si>
  <si>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</si>
  <si>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</si>
  <si>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</si>
  <si>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</si>
  <si>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</si>
  <si>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</si>
  <si>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</si>
  <si>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</si>
  <si>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</si>
  <si>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</si>
  <si>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</si>
  <si>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</si>
  <si>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</si>
  <si>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</si>
  <si>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</si>
  <si>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</si>
  <si>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</si>
  <si>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</si>
  <si>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</si>
  <si>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</si>
  <si>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</si>
  <si>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</si>
  <si>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</si>
  <si>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</si>
  <si>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</si>
  <si>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</si>
  <si>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</si>
  <si>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</si>
  <si>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</si>
  <si>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</si>
  <si>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</si>
  <si>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</si>
  <si>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</si>
  <si>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</si>
  <si>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</si>
  <si>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</si>
  <si>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</si>
  <si>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</si>
  <si>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</si>
  <si>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</si>
  <si>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</si>
  <si>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</si>
  <si>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</si>
  <si>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</si>
  <si>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</si>
  <si>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</si>
  <si>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</si>
  <si>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</si>
  <si>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</si>
  <si>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</si>
  <si>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</si>
  <si>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</si>
  <si>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</si>
  <si>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</si>
  <si>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</si>
  <si>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</si>
  <si>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</si>
  <si>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</si>
  <si>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</si>
  <si>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</si>
  <si>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</si>
  <si>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</si>
  <si>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</si>
  <si>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</si>
  <si>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</si>
  <si>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</si>
  <si>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</si>
  <si>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</si>
  <si>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</si>
  <si>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</si>
  <si>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</si>
  <si>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</si>
  <si>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</si>
  <si>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</si>
  <si>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</si>
  <si>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</si>
  <si>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</si>
  <si>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</si>
  <si>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</si>
  <si>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</si>
  <si>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</si>
  <si>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</si>
  <si>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</si>
  <si>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</si>
  <si>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</si>
  <si>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</si>
  <si>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</si>
  <si>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</si>
  <si>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</si>
  <si>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</si>
  <si>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</si>
  <si>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</si>
  <si>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</si>
  <si>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</si>
  <si>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</si>
  <si>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</si>
  <si>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</si>
  <si>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</si>
  <si>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</si>
  <si>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</si>
  <si>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</si>
  <si>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</si>
  <si>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</si>
  <si>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</si>
  <si>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</si>
  <si>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</si>
  <si>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</si>
  <si>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</si>
  <si>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</si>
  <si>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</si>
  <si>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</si>
  <si>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</si>
  <si>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</si>
  <si>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</si>
  <si>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</si>
  <si>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</si>
  <si>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</si>
  <si>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</si>
  <si>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</si>
  <si>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</si>
  <si>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</si>
  <si>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</si>
  <si>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</si>
  <si>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</si>
  <si>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</si>
  <si>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</si>
  <si>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</si>
  <si>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</si>
  <si>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</si>
  <si>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</si>
  <si>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</si>
  <si>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</si>
  <si>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</si>
  <si>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</si>
  <si>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</si>
  <si>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</si>
  <si>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</si>
  <si>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</si>
  <si>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</si>
  <si>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</si>
  <si>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</si>
  <si>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</si>
  <si>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</si>
  <si>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</si>
  <si>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</si>
  <si>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</si>
  <si>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</si>
  <si>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</si>
  <si>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</si>
  <si>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</si>
  <si>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</si>
  <si>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</si>
  <si>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</si>
  <si>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</si>
  <si>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</si>
  <si>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</si>
  <si>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</si>
  <si>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</si>
  <si>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</si>
  <si>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</si>
  <si>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</si>
  <si>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</si>
  <si>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</si>
  <si>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</si>
  <si>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</si>
  <si>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</si>
  <si>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</si>
  <si>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</si>
  <si>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</si>
  <si>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</si>
  <si>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</si>
  <si>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</si>
  <si>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</si>
  <si>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</si>
  <si>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</si>
  <si>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</si>
  <si>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</si>
  <si>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</si>
  <si>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</si>
  <si>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</si>
  <si>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</si>
  <si>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</si>
  <si>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</si>
  <si>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</si>
  <si>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</si>
  <si>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</si>
  <si>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</si>
  <si>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</si>
  <si>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</si>
  <si>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</si>
  <si>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</si>
  <si>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</si>
  <si>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</si>
  <si>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</si>
  <si>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</si>
  <si>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</si>
  <si>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</si>
  <si>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</si>
  <si>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</si>
  <si>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</si>
  <si>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</si>
  <si>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</si>
  <si>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</si>
  <si>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</si>
  <si>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</si>
  <si>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</si>
  <si>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</si>
  <si>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</si>
  <si>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</si>
  <si>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</si>
  <si>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</si>
  <si>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</si>
  <si>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</si>
  <si>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</si>
  <si>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</si>
  <si>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</si>
  <si>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</si>
  <si>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</si>
  <si>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</si>
  <si>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</si>
  <si>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</si>
  <si>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</si>
  <si>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</si>
  <si>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</si>
  <si>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</si>
  <si>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</si>
  <si>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</si>
  <si>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</si>
  <si>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</si>
  <si>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</si>
  <si>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</si>
  <si>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</si>
  <si>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</si>
  <si>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</si>
  <si>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</si>
  <si>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</si>
  <si>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</si>
  <si>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</si>
  <si>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</si>
  <si>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</si>
  <si>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</si>
  <si>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</si>
  <si>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</si>
  <si>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</si>
  <si>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</si>
  <si>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</si>
  <si>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</si>
  <si>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</si>
  <si>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</si>
  <si>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</si>
  <si>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</si>
  <si>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</si>
  <si>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</si>
  <si>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</si>
  <si>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</si>
  <si>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</si>
  <si>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</si>
  <si>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</si>
  <si>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</si>
  <si>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</si>
  <si>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</si>
  <si>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</si>
  <si>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</si>
  <si>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</si>
  <si>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</si>
  <si>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</si>
  <si>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</si>
  <si>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</si>
  <si>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</si>
  <si>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</si>
  <si>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</si>
  <si>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</si>
  <si>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</si>
  <si>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</si>
  <si>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</si>
  <si>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</si>
  <si>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</si>
  <si>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</si>
  <si>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</si>
  <si>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</si>
  <si>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</si>
  <si>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</si>
  <si>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</si>
  <si>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</si>
  <si>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</si>
  <si>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</si>
  <si>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</si>
  <si>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</si>
  <si>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</si>
  <si>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</si>
  <si>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</si>
  <si>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</si>
  <si>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</si>
  <si>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</si>
  <si>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</si>
  <si>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</si>
  <si>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</si>
  <si>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</si>
  <si>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</si>
  <si>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</si>
  <si>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</si>
  <si>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</si>
  <si>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</si>
  <si>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</si>
  <si>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</si>
  <si>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</si>
  <si>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</si>
  <si>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</si>
  <si>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</si>
  <si>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</si>
  <si>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</si>
  <si>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</si>
  <si>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</si>
  <si>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</si>
  <si>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</si>
  <si>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</si>
  <si>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</si>
  <si>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</si>
  <si>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</si>
  <si>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</si>
  <si>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</si>
  <si>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</si>
  <si>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</si>
  <si>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</si>
  <si>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</si>
  <si>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</si>
  <si>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</si>
  <si>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</si>
  <si>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</si>
  <si>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</si>
  <si>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</si>
  <si>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</si>
  <si>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</si>
  <si>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</si>
  <si>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</si>
  <si>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</si>
  <si>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</si>
  <si>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</si>
  <si>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</si>
  <si>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</si>
  <si>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</si>
  <si>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</si>
  <si>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</si>
  <si>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</si>
  <si>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</si>
  <si>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</si>
  <si>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</si>
  <si>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</si>
  <si>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</si>
  <si>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</si>
  <si>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</si>
  <si>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</si>
  <si>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</si>
  <si>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</si>
  <si>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</si>
  <si>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</si>
  <si>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</si>
  <si>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</si>
  <si>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</si>
  <si>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</si>
  <si>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</si>
  <si>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</si>
  <si>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</si>
  <si>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</si>
  <si>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</si>
  <si>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</si>
  <si>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</si>
  <si>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</si>
  <si>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</si>
  <si>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</si>
  <si>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</si>
  <si>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</si>
  <si>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</si>
  <si>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</si>
  <si>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</si>
  <si>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</si>
  <si>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</si>
  <si>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</si>
  <si>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</si>
  <si>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</si>
  <si>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</si>
  <si>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</si>
  <si>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</si>
  <si>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</si>
  <si>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</si>
  <si>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</si>
  <si>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</si>
  <si>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</si>
  <si>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</si>
  <si>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</si>
  <si>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</si>
  <si>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</si>
  <si>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</si>
  <si>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</si>
  <si>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</si>
  <si>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</si>
  <si>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</si>
  <si>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</si>
  <si>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</si>
  <si>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</si>
  <si>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</si>
  <si>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</si>
  <si>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</si>
  <si>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</si>
  <si>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</si>
  <si>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</si>
  <si>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</si>
  <si>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</si>
  <si>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</si>
  <si>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</si>
  <si>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</si>
  <si>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</si>
  <si>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</si>
  <si>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</si>
  <si>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</si>
  <si>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</si>
  <si>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</si>
  <si>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</si>
  <si>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</si>
  <si>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</si>
  <si>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</si>
  <si>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</si>
  <si>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</si>
  <si>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</si>
  <si>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</si>
  <si>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</si>
  <si>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</si>
  <si>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</si>
  <si>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</si>
  <si>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</si>
  <si>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</si>
  <si>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</si>
  <si>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</si>
  <si>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</si>
  <si>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</si>
  <si>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</si>
  <si>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</si>
  <si>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</si>
  <si>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</si>
  <si>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</si>
  <si>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</si>
  <si>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</si>
  <si>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</si>
  <si>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</si>
  <si>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</si>
  <si>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</si>
  <si>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</si>
  <si>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</si>
  <si>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</si>
  <si>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</si>
  <si>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</si>
  <si>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</si>
  <si>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</si>
  <si>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</si>
  <si>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</si>
  <si>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</si>
  <si>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</si>
  <si>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</si>
  <si>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</si>
  <si>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</si>
  <si>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</si>
  <si>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</si>
  <si>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</si>
  <si>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</si>
  <si>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</si>
  <si>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</si>
  <si>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</si>
  <si>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</si>
  <si>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</si>
  <si>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</si>
  <si>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</si>
  <si>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</si>
  <si>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</si>
  <si>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</si>
  <si>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</si>
  <si>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</si>
  <si>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</si>
  <si>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</si>
  <si>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</si>
  <si>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</si>
  <si>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</si>
  <si>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</si>
  <si>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</si>
  <si>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</si>
  <si>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</si>
  <si>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</si>
  <si>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</si>
  <si>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</si>
  <si>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</si>
  <si>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</si>
  <si>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</si>
  <si>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</si>
  <si>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</si>
  <si>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</si>
  <si>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</si>
  <si>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</si>
  <si>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</si>
  <si>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</si>
  <si>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</si>
  <si>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</si>
  <si>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</si>
  <si>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</si>
  <si>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</si>
  <si>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</si>
  <si>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</si>
  <si>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</si>
  <si>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</si>
  <si>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</si>
  <si>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</si>
  <si>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</si>
  <si>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</si>
  <si>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</si>
  <si>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</si>
  <si>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</si>
  <si>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</si>
  <si>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</si>
  <si>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</si>
  <si>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</si>
  <si>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</si>
  <si>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</si>
  <si>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</si>
  <si>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</si>
  <si>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</si>
  <si>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</si>
  <si>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</si>
  <si>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</si>
  <si>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</si>
  <si>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</si>
  <si>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</si>
  <si>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</si>
  <si>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</si>
  <si>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</si>
  <si>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</si>
  <si>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</si>
  <si>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</si>
  <si>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</si>
  <si>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</si>
  <si>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</si>
  <si>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</si>
  <si>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</si>
  <si>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</si>
  <si>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</si>
  <si>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</si>
  <si>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</si>
  <si>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</si>
  <si>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</si>
  <si>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</si>
  <si>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</si>
  <si>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</si>
  <si>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</si>
  <si>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</si>
  <si>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</si>
  <si>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</si>
  <si>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</si>
  <si>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</si>
  <si>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</si>
  <si>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</si>
  <si>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</si>
  <si>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</si>
  <si>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</si>
  <si>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</si>
  <si>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</si>
  <si>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</si>
  <si>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</si>
  <si>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</si>
  <si>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</si>
  <si>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</si>
  <si>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</si>
  <si>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</si>
  <si>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</si>
  <si>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</si>
  <si>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</si>
  <si>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</si>
  <si>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</si>
  <si>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</si>
  <si>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</si>
  <si>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</si>
  <si>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</si>
  <si>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</si>
  <si>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</si>
  <si>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</si>
  <si>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</si>
  <si>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</si>
  <si>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</si>
  <si>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</si>
  <si>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</si>
  <si>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</si>
  <si>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</si>
  <si>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</si>
  <si>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</si>
  <si>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</si>
  <si>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</si>
  <si>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</si>
  <si>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</si>
  <si>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</si>
  <si>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</si>
  <si>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</si>
  <si>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</si>
  <si>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</si>
  <si>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</si>
  <si>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</si>
  <si>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</si>
  <si>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</si>
  <si>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</si>
  <si>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</si>
  <si>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</si>
  <si>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</si>
  <si>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</si>
  <si>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</si>
  <si>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</si>
  <si>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</si>
  <si>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</si>
  <si>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</si>
  <si>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</si>
  <si>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</si>
  <si>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</si>
  <si>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</si>
  <si>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</si>
  <si>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</si>
  <si>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</si>
  <si>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</si>
  <si>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</si>
  <si>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</si>
  <si>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</si>
  <si>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</si>
  <si>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</si>
  <si>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</si>
  <si>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</si>
  <si>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</si>
  <si>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</si>
  <si>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</si>
  <si>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</si>
  <si>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</si>
  <si>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</si>
  <si>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</si>
  <si>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</si>
  <si>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</si>
  <si>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</si>
  <si>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</si>
  <si>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</si>
  <si>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</si>
  <si>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</si>
  <si>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</si>
  <si>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</si>
  <si>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</si>
  <si>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</si>
  <si>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</si>
  <si>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</si>
  <si>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</si>
  <si>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</si>
  <si>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</si>
  <si>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</si>
  <si>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</si>
  <si>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</si>
  <si>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</si>
  <si>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</si>
  <si>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</si>
  <si>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</si>
  <si>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</si>
  <si>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</si>
  <si>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</si>
  <si>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</si>
  <si>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</si>
  <si>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</si>
  <si>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</si>
  <si>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</si>
  <si>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</si>
  <si>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</si>
  <si>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</si>
  <si>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</si>
  <si>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</si>
  <si>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</si>
  <si>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</si>
  <si>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</si>
  <si>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</si>
  <si>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</si>
  <si>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</si>
  <si>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</si>
  <si>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</si>
  <si>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</si>
  <si>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</si>
  <si>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</si>
  <si>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</si>
  <si>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</si>
  <si>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</si>
  <si>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</si>
  <si>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</si>
  <si>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</si>
  <si>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</si>
  <si>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</si>
  <si>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</si>
  <si>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</si>
  <si>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</si>
  <si>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</si>
  <si>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</si>
  <si>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</si>
  <si>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</si>
  <si>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</si>
  <si>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</si>
  <si>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</si>
  <si>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</si>
  <si>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</si>
  <si>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</si>
  <si>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</si>
  <si>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</si>
  <si>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</si>
  <si>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</si>
  <si>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</si>
  <si>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</si>
  <si>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</si>
  <si>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</si>
  <si>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</si>
  <si>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</si>
  <si>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</si>
  <si>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</si>
  <si>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</si>
  <si>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</si>
  <si>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</si>
  <si>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</si>
  <si>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</si>
  <si>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</si>
  <si>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</si>
  <si>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</si>
  <si>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</si>
  <si>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</si>
  <si>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</si>
  <si>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</si>
  <si>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</si>
  <si>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</si>
  <si>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</si>
  <si>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</si>
  <si>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</si>
  <si>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</si>
  <si>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</si>
  <si>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</si>
  <si>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</si>
  <si>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</si>
  <si>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</si>
  <si>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</si>
  <si>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</si>
  <si>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</si>
  <si>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</si>
  <si>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</si>
  <si>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</si>
  <si>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</si>
  <si>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</si>
  <si>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</si>
  <si>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</si>
  <si>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</si>
  <si>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</si>
  <si>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</si>
  <si>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</si>
  <si>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</si>
  <si>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</si>
  <si>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</si>
  <si>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</si>
  <si>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</si>
  <si>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</si>
  <si>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</si>
  <si>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</si>
  <si>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</si>
  <si>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</si>
  <si>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</si>
  <si>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</si>
  <si>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</si>
  <si>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</si>
  <si>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</si>
  <si>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</si>
  <si>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</si>
  <si>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</si>
  <si>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</si>
  <si>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</si>
  <si>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</si>
  <si>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</si>
  <si>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</si>
  <si>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</si>
  <si>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</si>
  <si>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</si>
  <si>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</si>
  <si>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</si>
  <si>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</si>
  <si>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</si>
  <si>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</si>
  <si>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</si>
  <si>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</si>
  <si>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</si>
  <si>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</si>
  <si>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</si>
  <si>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</si>
  <si>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</si>
  <si>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</si>
  <si>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</si>
  <si>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</si>
  <si>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</si>
  <si>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</si>
  <si>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</si>
  <si>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</si>
  <si>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</si>
  <si>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</si>
  <si>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</si>
  <si>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</si>
  <si>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</si>
  <si>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</si>
  <si>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</si>
  <si>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</si>
  <si>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</si>
  <si>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</si>
  <si>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</si>
  <si>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</si>
  <si>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</si>
  <si>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</si>
  <si>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</si>
  <si>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</si>
  <si>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</si>
  <si>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</si>
  <si>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</si>
  <si>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</si>
  <si>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</si>
  <si>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</si>
  <si>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</si>
  <si>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</si>
  <si>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</si>
  <si>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</si>
  <si>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</si>
  <si>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</si>
  <si>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</si>
  <si>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</si>
  <si>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</si>
  <si>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</si>
  <si>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</si>
  <si>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</si>
  <si>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</si>
  <si>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</si>
  <si>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</si>
  <si>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</si>
  <si>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</si>
  <si>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</si>
  <si>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</si>
  <si>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</si>
  <si>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</si>
  <si>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</si>
  <si>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</si>
  <si>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</si>
  <si>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</si>
  <si>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</si>
  <si>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</si>
  <si>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</si>
  <si>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</si>
  <si>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</si>
  <si>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</si>
  <si>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</si>
  <si>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</si>
  <si>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</si>
  <si>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</si>
  <si>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</si>
  <si>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</si>
  <si>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</si>
  <si>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</si>
  <si>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</si>
  <si>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</si>
  <si>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</si>
  <si>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</si>
  <si>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</si>
  <si>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</si>
  <si>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</si>
  <si>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</si>
  <si>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</si>
  <si>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</si>
  <si>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</si>
  <si>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</si>
  <si>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</si>
  <si>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</si>
  <si>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</si>
  <si>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</si>
  <si>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</si>
  <si>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</si>
  <si>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</si>
  <si>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</si>
  <si>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</si>
  <si>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</si>
  <si>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</si>
  <si>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</si>
  <si>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</si>
  <si>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</si>
  <si>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</si>
  <si>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</si>
  <si>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</si>
  <si>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</si>
  <si>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</si>
  <si>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</si>
  <si>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</si>
  <si>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</si>
  <si>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</si>
  <si>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</si>
  <si>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</si>
  <si>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</si>
  <si>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</si>
  <si>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</si>
  <si>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</si>
  <si>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</si>
  <si>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</si>
  <si>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</si>
  <si>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</si>
  <si>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</si>
  <si>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</si>
  <si>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</si>
  <si>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</si>
  <si>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</si>
  <si>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</si>
  <si>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</si>
  <si>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</si>
  <si>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</si>
  <si>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</si>
  <si>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</si>
  <si>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</si>
  <si>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</si>
  <si>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</si>
  <si>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</si>
  <si>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</si>
  <si>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</si>
  <si>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</si>
  <si>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</si>
  <si>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</si>
  <si>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</si>
  <si>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</si>
  <si>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</si>
  <si>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</si>
  <si>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</si>
  <si>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</si>
  <si>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</si>
  <si>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</si>
  <si>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</si>
  <si>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</si>
  <si>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</si>
  <si>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</si>
  <si>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</si>
  <si>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</si>
  <si>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</si>
  <si>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</si>
  <si>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</si>
  <si>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</si>
  <si>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</si>
  <si>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</si>
  <si>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</si>
  <si>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</si>
  <si>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</si>
  <si>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</si>
  <si>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</si>
  <si>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</si>
  <si>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</si>
  <si>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</si>
  <si>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</si>
  <si>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</si>
  <si>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</si>
  <si>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</si>
  <si>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</si>
  <si>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</si>
  <si>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</si>
  <si>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</si>
  <si>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</si>
  <si>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</si>
  <si>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</si>
  <si>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</si>
  <si>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</si>
  <si>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</si>
  <si>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</si>
  <si>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</si>
  <si>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</si>
  <si>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</si>
  <si>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</si>
  <si>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</si>
  <si>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</si>
  <si>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</si>
  <si>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</si>
  <si>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</si>
  <si>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</si>
  <si>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</si>
  <si>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</si>
  <si>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</si>
  <si>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</si>
  <si>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</si>
  <si>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</si>
  <si>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</si>
  <si>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</si>
  <si>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</si>
  <si>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</si>
  <si>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</si>
  <si>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</si>
  <si>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</si>
  <si>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</si>
  <si>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</si>
  <si>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</si>
  <si>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</si>
  <si>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</si>
  <si>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</si>
  <si>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</si>
  <si>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</si>
  <si>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</si>
  <si>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</si>
  <si>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</si>
  <si>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</si>
  <si>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</si>
  <si>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</si>
  <si>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</si>
  <si>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</si>
  <si>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</si>
  <si>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</si>
  <si>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</si>
  <si>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</si>
  <si>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</si>
  <si>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</si>
  <si>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</si>
  <si>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</si>
  <si>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</si>
  <si>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</si>
  <si>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</si>
  <si>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</si>
  <si>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</si>
  <si>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</si>
  <si>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</si>
  <si>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</si>
  <si>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</si>
  <si>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</si>
  <si>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</si>
  <si>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</si>
  <si>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</si>
  <si>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</si>
  <si>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</si>
  <si>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</si>
  <si>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</si>
  <si>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</si>
  <si>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</si>
  <si>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</si>
  <si>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</si>
  <si>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</si>
  <si>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</si>
  <si>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</si>
  <si>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</si>
  <si>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</si>
  <si>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</si>
  <si>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</si>
  <si>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</si>
  <si>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</si>
  <si>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</si>
  <si>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</si>
  <si>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</si>
  <si>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</si>
  <si>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</si>
  <si>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</si>
  <si>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</si>
  <si>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</si>
  <si>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</si>
  <si>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</si>
  <si>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</si>
  <si>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</si>
  <si>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</si>
  <si>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</si>
  <si>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</si>
  <si>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</si>
  <si>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</si>
  <si>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</si>
  <si>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</si>
  <si>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</si>
  <si>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</si>
  <si>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</si>
  <si>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</si>
  <si>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</si>
  <si>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</si>
  <si>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</si>
  <si>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</si>
  <si>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</si>
  <si>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</si>
  <si>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</si>
  <si>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</si>
  <si>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</si>
  <si>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</si>
  <si>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</si>
  <si>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</si>
  <si>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</si>
  <si>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</si>
  <si>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</si>
  <si>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</si>
  <si>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</si>
  <si>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</si>
  <si>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</si>
  <si>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</si>
  <si>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</si>
  <si>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</si>
  <si>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</si>
  <si>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</si>
  <si>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</si>
  <si>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</si>
  <si>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</si>
  <si>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</si>
  <si>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</si>
  <si>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</si>
  <si>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</si>
  <si>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</si>
  <si>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</si>
  <si>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</si>
  <si>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</si>
  <si>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</si>
  <si>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</si>
  <si>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</si>
  <si>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</si>
  <si>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</si>
  <si>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</si>
  <si>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</si>
  <si>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</si>
  <si>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</si>
  <si>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</si>
  <si>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</si>
  <si>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</si>
  <si>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</si>
  <si>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</si>
  <si>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</si>
  <si>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</si>
  <si>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</si>
  <si>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</si>
  <si>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</si>
  <si>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</si>
  <si>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</si>
  <si>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</si>
  <si>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</si>
  <si>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</si>
  <si>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</si>
  <si>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</si>
  <si>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</si>
  <si>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</si>
  <si>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</si>
  <si>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</si>
  <si>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</si>
  <si>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</si>
  <si>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</si>
  <si>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</si>
  <si>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</si>
  <si>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</si>
  <si>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</si>
  <si>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</si>
  <si>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</si>
  <si>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</si>
  <si>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</si>
  <si>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</si>
  <si>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</si>
  <si>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</si>
  <si>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</si>
  <si>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</si>
  <si>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</si>
  <si>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</si>
  <si>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</si>
  <si>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</si>
  <si>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</si>
  <si>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</si>
  <si>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</si>
  <si>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</si>
  <si>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</si>
  <si>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</si>
  <si>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</si>
  <si>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</si>
  <si>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</si>
  <si>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</si>
  <si>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</si>
  <si>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</si>
  <si>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</si>
  <si>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</si>
  <si>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</si>
  <si>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</si>
  <si>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</si>
  <si>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Row Labels</t>
  </si>
  <si>
    <t>(blank)</t>
  </si>
  <si>
    <t>Grand Total</t>
  </si>
  <si>
    <t>Sum of sales</t>
  </si>
  <si>
    <t>Sum of profit</t>
  </si>
  <si>
    <t>2024</t>
  </si>
  <si>
    <t>2025</t>
  </si>
  <si>
    <t>Count of order_id</t>
  </si>
  <si>
    <t>Region Sales</t>
  </si>
  <si>
    <t>Sales by Category</t>
  </si>
  <si>
    <t>Profit by State</t>
  </si>
  <si>
    <t>Customer Segment Analysis</t>
  </si>
  <si>
    <t>Monthly Sales Trend</t>
  </si>
  <si>
    <t>Payment Status</t>
  </si>
  <si>
    <t>Sales Performance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</si>
</sst>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[cleaned_orders.xlsx]Region 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Sales'!$A$4:$A$9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Sales'!$B$4:$B$9</c:f>
              <c:numCache>
                <c:formatCode>General</c:formatCode>
                <c:ptCount val="5"/>
                <c:pt idx="0">
                  <c:v>2195887.7799999998</c:v>
                </c:pt>
                <c:pt idx="1">
                  <c:v>2166470.1099999994</c:v>
                </c:pt>
                <c:pt idx="2">
                  <c:v>2319638.1999999993</c:v>
                </c:pt>
                <c:pt idx="3">
                  <c:v>2107785.1700000013</c:v>
                </c:pt>
                <c:pt idx="4">
                  <c:v>289809.21000000002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D-4892-89EC-F9CA09F4B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54032"/>
        <c:axId val="48954512"/>
      </c:barChart>
      <c:catAx>
        <c:axId val="4895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4512"/>
        <c:crosses val="autoZero"/>
        <c:auto val="1"/>
        <c:lblAlgn val="ctr"/>
        <c:lblOffset val="100"/>
        <c:noMultiLvlLbl val="0"/>
      </c:catAx>
      <c:valAx>
        <c:axId val="4895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[cleaned_orders.xlsx]Sales by category!PivotTable2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Office  Supplies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3128366.6499999976</c:v>
                </c:pt>
                <c:pt idx="1">
                  <c:v>11462.74</c:v>
                </c:pt>
                <c:pt idx="2">
                  <c:v>2771999.3200000008</c:v>
                </c:pt>
                <c:pt idx="3">
                  <c:v>3167761.7599999961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8-4823-A1E7-2C6B1A21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15760"/>
        <c:axId val="154816240"/>
      </c:barChart>
      <c:catAx>
        <c:axId val="15481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6240"/>
        <c:crosses val="autoZero"/>
        <c:auto val="1"/>
        <c:lblAlgn val="ctr"/>
        <c:lblOffset val="100"/>
        <c:noMultiLvlLbl val="0"/>
      </c:catAx>
      <c:valAx>
        <c:axId val="15481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[cleaned_orders.xlsx]Profit by state!PivotTable3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state'!$A$4:$A$23</c:f>
              <c:strCache>
                <c:ptCount val="19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Delhi</c:v>
                </c:pt>
                <c:pt idx="4">
                  <c:v>Goa</c:v>
                </c:pt>
                <c:pt idx="5">
                  <c:v>Gujarat</c:v>
                </c:pt>
                <c:pt idx="6">
                  <c:v>Haryana</c:v>
                </c:pt>
                <c:pt idx="7">
                  <c:v>Jharkhand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Odisha</c:v>
                </c:pt>
                <c:pt idx="13">
                  <c:v>Punjab</c:v>
                </c:pt>
                <c:pt idx="14">
                  <c:v>Rajasthan</c:v>
                </c:pt>
                <c:pt idx="15">
                  <c:v>Tamil Nadu</c:v>
                </c:pt>
                <c:pt idx="16">
                  <c:v>Telangana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'Profit by state'!$B$4:$B$23</c:f>
              <c:numCache>
                <c:formatCode>General</c:formatCode>
                <c:ptCount val="19"/>
                <c:pt idx="0">
                  <c:v>108060.90000000001</c:v>
                </c:pt>
                <c:pt idx="1">
                  <c:v>123751.76000000002</c:v>
                </c:pt>
                <c:pt idx="2">
                  <c:v>174191.19</c:v>
                </c:pt>
                <c:pt idx="3">
                  <c:v>115194.29999999996</c:v>
                </c:pt>
                <c:pt idx="4">
                  <c:v>128791.04999999999</c:v>
                </c:pt>
                <c:pt idx="5">
                  <c:v>149904.41999999993</c:v>
                </c:pt>
                <c:pt idx="6">
                  <c:v>139520.94999999998</c:v>
                </c:pt>
                <c:pt idx="7">
                  <c:v>164719.61000000002</c:v>
                </c:pt>
                <c:pt idx="8">
                  <c:v>132987.66</c:v>
                </c:pt>
                <c:pt idx="9">
                  <c:v>147997.16999999998</c:v>
                </c:pt>
                <c:pt idx="10">
                  <c:v>118230.95000000001</c:v>
                </c:pt>
                <c:pt idx="11">
                  <c:v>120157.15</c:v>
                </c:pt>
                <c:pt idx="12">
                  <c:v>151998.94</c:v>
                </c:pt>
                <c:pt idx="13">
                  <c:v>105356.17000000001</c:v>
                </c:pt>
                <c:pt idx="14">
                  <c:v>240516.03999999998</c:v>
                </c:pt>
                <c:pt idx="15">
                  <c:v>164550.94000000003</c:v>
                </c:pt>
                <c:pt idx="16">
                  <c:v>114189.90999999996</c:v>
                </c:pt>
                <c:pt idx="17">
                  <c:v>165625.9</c:v>
                </c:pt>
                <c:pt idx="18">
                  <c:v>101474.46000000004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2-4F1A-BF5F-638BF3BBC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89424"/>
        <c:axId val="150589904"/>
      </c:barChart>
      <c:catAx>
        <c:axId val="15058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9904"/>
        <c:crosses val="autoZero"/>
        <c:auto val="1"/>
        <c:lblAlgn val="ctr"/>
        <c:lblOffset val="100"/>
        <c:noMultiLvlLbl val="0"/>
      </c:catAx>
      <c:valAx>
        <c:axId val="15058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[cleaned_orders.xlsx]Customer segment analysis!PivotTable5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 Class</c:v>
                </c:pt>
                <c:pt idx="4">
                  <c:v>Standard Class</c:v>
                </c:pt>
                <c:pt idx="5">
                  <c:v>(blank)</c:v>
                </c:pt>
              </c:strCache>
            </c:strRef>
          </c:cat>
          <c:val>
            <c:numRef>
              <c:f>'Customer segment analysis'!$B$4:$B$10</c:f>
              <c:numCache>
                <c:formatCode>General</c:formatCode>
                <c:ptCount val="6"/>
                <c:pt idx="0">
                  <c:v>223</c:v>
                </c:pt>
                <c:pt idx="1">
                  <c:v>204</c:v>
                </c:pt>
                <c:pt idx="2">
                  <c:v>222</c:v>
                </c:pt>
                <c:pt idx="3">
                  <c:v>1</c:v>
                </c:pt>
                <c:pt idx="4">
                  <c:v>241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2-48FB-8F7C-CA26FE2F0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09808"/>
        <c:axId val="65722288"/>
      </c:barChart>
      <c:catAx>
        <c:axId val="6570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2288"/>
        <c:crosses val="autoZero"/>
        <c:auto val="1"/>
        <c:lblAlgn val="ctr"/>
        <c:lblOffset val="100"/>
        <c:noMultiLvlLbl val="0"/>
      </c:catAx>
      <c:valAx>
        <c:axId val="657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[cleaned_orders.xlsx]Monthly Sales Trend!PivotTable6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'Monthly Sales Trend'!$B$4:$B$6</c:f>
              <c:numCache>
                <c:formatCode>General</c:formatCode>
                <c:ptCount val="2"/>
                <c:pt idx="0">
                  <c:v>4845060.2800000031</c:v>
                </c:pt>
                <c:pt idx="1">
                  <c:v>4234530.1899999976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A-4D47-8CBE-8566813C1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389488"/>
        <c:axId val="2132387568"/>
      </c:lineChart>
      <c:catAx>
        <c:axId val="21323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87568"/>
        <c:crosses val="autoZero"/>
        <c:auto val="1"/>
        <c:lblAlgn val="ctr"/>
        <c:lblOffset val="100"/>
        <c:noMultiLvlLbl val="0"/>
      </c:catAx>
      <c:valAx>
        <c:axId val="213238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8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[cleaned_orders.xlsx]Payment Status!PivotTable7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6-4201-9C3F-F36C3157F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6-4201-9C3F-F36C3157F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6-4201-9C3F-F36C3157F9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96-4201-9C3F-F36C3157F928}"/>
              </c:ext>
            </c:extLst>
          </c:dPt>
          <c:cat>
            <c:strRef>
              <c:f>'Payment Status'!$A$4:$A$8</c:f>
              <c:strCache>
                <c:ptCount val="4"/>
                <c:pt idx="0">
                  <c:v>Failed</c:v>
                </c:pt>
                <c:pt idx="1">
                  <c:v>Paid</c:v>
                </c:pt>
                <c:pt idx="2">
                  <c:v>Pending</c:v>
                </c:pt>
                <c:pt idx="3">
                  <c:v>Refunded</c:v>
                </c:pt>
              </c:strCache>
            </c:strRef>
          </c:cat>
          <c:val>
            <c:numRef>
              <c:f>'Payment Status'!$B$4:$B$8</c:f>
              <c:numCache>
                <c:formatCode>General</c:formatCode>
                <c:ptCount val="4"/>
                <c:pt idx="0">
                  <c:v>69</c:v>
                </c:pt>
                <c:pt idx="1">
                  <c:v>686</c:v>
                </c:pt>
                <c:pt idx="2">
                  <c:v>86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1-46C5-95A0-671B3BF42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[cleaned_orders.xlsx]Region Sales!PivotTable1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Sales'!$A$4:$A$9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Sales'!$B$4:$B$9</c:f>
              <c:numCache>
                <c:formatCode>General</c:formatCode>
                <c:ptCount val="5"/>
                <c:pt idx="0">
                  <c:v>2195887.7799999998</c:v>
                </c:pt>
                <c:pt idx="1">
                  <c:v>2166470.1099999994</c:v>
                </c:pt>
                <c:pt idx="2">
                  <c:v>2319638.1999999993</c:v>
                </c:pt>
                <c:pt idx="3">
                  <c:v>2107785.1700000013</c:v>
                </c:pt>
                <c:pt idx="4">
                  <c:v>289809.21000000002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5-49DC-8BD5-DAA2BA4F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54032"/>
        <c:axId val="48954512"/>
      </c:barChart>
      <c:catAx>
        <c:axId val="4895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4512"/>
        <c:crosses val="autoZero"/>
        <c:auto val="1"/>
        <c:lblAlgn val="ctr"/>
        <c:lblOffset val="100"/>
        <c:noMultiLvlLbl val="0"/>
      </c:catAx>
      <c:valAx>
        <c:axId val="4895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[cleaned_orders.xlsx]Sales by category!PivotTable2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Office  Supplies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3128366.6499999976</c:v>
                </c:pt>
                <c:pt idx="1">
                  <c:v>11462.74</c:v>
                </c:pt>
                <c:pt idx="2">
                  <c:v>2771999.3200000008</c:v>
                </c:pt>
                <c:pt idx="3">
                  <c:v>3167761.7599999961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A-4262-B9F4-5E1D810B7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15760"/>
        <c:axId val="154816240"/>
      </c:barChart>
      <c:catAx>
        <c:axId val="15481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6240"/>
        <c:crosses val="autoZero"/>
        <c:auto val="1"/>
        <c:lblAlgn val="ctr"/>
        <c:lblOffset val="100"/>
        <c:noMultiLvlLbl val="0"/>
      </c:catAx>
      <c:valAx>
        <c:axId val="15481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[cleaned_orders.xlsx]Profit by state!PivotTable3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state'!$A$4:$A$23</c:f>
              <c:strCache>
                <c:ptCount val="19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Delhi</c:v>
                </c:pt>
                <c:pt idx="4">
                  <c:v>Goa</c:v>
                </c:pt>
                <c:pt idx="5">
                  <c:v>Gujarat</c:v>
                </c:pt>
                <c:pt idx="6">
                  <c:v>Haryana</c:v>
                </c:pt>
                <c:pt idx="7">
                  <c:v>Jharkhand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Odisha</c:v>
                </c:pt>
                <c:pt idx="13">
                  <c:v>Punjab</c:v>
                </c:pt>
                <c:pt idx="14">
                  <c:v>Rajasthan</c:v>
                </c:pt>
                <c:pt idx="15">
                  <c:v>Tamil Nadu</c:v>
                </c:pt>
                <c:pt idx="16">
                  <c:v>Telangana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'Profit by state'!$B$4:$B$23</c:f>
              <c:numCache>
                <c:formatCode>General</c:formatCode>
                <c:ptCount val="19"/>
                <c:pt idx="0">
                  <c:v>108060.90000000001</c:v>
                </c:pt>
                <c:pt idx="1">
                  <c:v>123751.76000000002</c:v>
                </c:pt>
                <c:pt idx="2">
                  <c:v>174191.19</c:v>
                </c:pt>
                <c:pt idx="3">
                  <c:v>115194.29999999996</c:v>
                </c:pt>
                <c:pt idx="4">
                  <c:v>128791.04999999999</c:v>
                </c:pt>
                <c:pt idx="5">
                  <c:v>149904.41999999993</c:v>
                </c:pt>
                <c:pt idx="6">
                  <c:v>139520.94999999998</c:v>
                </c:pt>
                <c:pt idx="7">
                  <c:v>164719.61000000002</c:v>
                </c:pt>
                <c:pt idx="8">
                  <c:v>132987.66</c:v>
                </c:pt>
                <c:pt idx="9">
                  <c:v>147997.16999999998</c:v>
                </c:pt>
                <c:pt idx="10">
                  <c:v>118230.95000000001</c:v>
                </c:pt>
                <c:pt idx="11">
                  <c:v>120157.15</c:v>
                </c:pt>
                <c:pt idx="12">
                  <c:v>151998.94</c:v>
                </c:pt>
                <c:pt idx="13">
                  <c:v>105356.17000000001</c:v>
                </c:pt>
                <c:pt idx="14">
                  <c:v>240516.03999999998</c:v>
                </c:pt>
                <c:pt idx="15">
                  <c:v>164550.94000000003</c:v>
                </c:pt>
                <c:pt idx="16">
                  <c:v>114189.90999999996</c:v>
                </c:pt>
                <c:pt idx="17">
                  <c:v>165625.9</c:v>
                </c:pt>
                <c:pt idx="18">
                  <c:v>101474.46000000004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7-41D2-9E0B-C87E011F5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89424"/>
        <c:axId val="150589904"/>
      </c:barChart>
      <c:catAx>
        <c:axId val="15058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9904"/>
        <c:crosses val="autoZero"/>
        <c:auto val="1"/>
        <c:lblAlgn val="ctr"/>
        <c:lblOffset val="100"/>
        <c:noMultiLvlLbl val="0"/>
      </c:catAx>
      <c:valAx>
        <c:axId val="15058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[cleaned_orders.xlsx]Customer segment analysis!PivotTable5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 Class</c:v>
                </c:pt>
                <c:pt idx="4">
                  <c:v>Standard Class</c:v>
                </c:pt>
                <c:pt idx="5">
                  <c:v>(blank)</c:v>
                </c:pt>
              </c:strCache>
            </c:strRef>
          </c:cat>
          <c:val>
            <c:numRef>
              <c:f>'Customer segment analysis'!$B$4:$B$10</c:f>
              <c:numCache>
                <c:formatCode>General</c:formatCode>
                <c:ptCount val="6"/>
                <c:pt idx="0">
                  <c:v>223</c:v>
                </c:pt>
                <c:pt idx="1">
                  <c:v>204</c:v>
                </c:pt>
                <c:pt idx="2">
                  <c:v>222</c:v>
                </c:pt>
                <c:pt idx="3">
                  <c:v>1</c:v>
                </c:pt>
                <c:pt idx="4">
                  <c:v>241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C-4FC3-82EF-3D774DE5A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09808"/>
        <c:axId val="65722288"/>
      </c:barChart>
      <c:catAx>
        <c:axId val="6570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2288"/>
        <c:crosses val="autoZero"/>
        <c:auto val="1"/>
        <c:lblAlgn val="ctr"/>
        <c:lblOffset val="100"/>
        <c:noMultiLvlLbl val="0"/>
      </c:catAx>
      <c:valAx>
        <c:axId val="657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[cleaned_orders.xlsx]Monthly Sales Trend!PivotTable6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'Monthly Sales Trend'!$B$4:$B$6</c:f>
              <c:numCache>
                <c:formatCode>General</c:formatCode>
                <c:ptCount val="2"/>
                <c:pt idx="0">
                  <c:v>4845060.2800000031</c:v>
                </c:pt>
                <c:pt idx="1">
                  <c:v>4234530.1899999976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E-449C-9545-1255F210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389488"/>
        <c:axId val="2132387568"/>
      </c:lineChart>
      <c:catAx>
        <c:axId val="21323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87568"/>
        <c:crosses val="autoZero"/>
        <c:auto val="1"/>
        <c:lblAlgn val="ctr"/>
        <c:lblOffset val="100"/>
        <c:noMultiLvlLbl val="0"/>
      </c:catAx>
      <c:valAx>
        <c:axId val="213238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8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[cleaned_orders.xlsx]Payment Status!PivotTable7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5C-4E99-933D-D5F6C02C6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5C-4E99-933D-D5F6C02C6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5C-4E99-933D-D5F6C02C60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5C-4E99-933D-D5F6C02C60F7}"/>
              </c:ext>
            </c:extLst>
          </c:dPt>
          <c:cat>
            <c:strRef>
              <c:f>'Payment Status'!$A$4:$A$8</c:f>
              <c:strCache>
                <c:ptCount val="4"/>
                <c:pt idx="0">
                  <c:v>Failed</c:v>
                </c:pt>
                <c:pt idx="1">
                  <c:v>Paid</c:v>
                </c:pt>
                <c:pt idx="2">
                  <c:v>Pending</c:v>
                </c:pt>
                <c:pt idx="3">
                  <c:v>Refunded</c:v>
                </c:pt>
              </c:strCache>
            </c:strRef>
          </c:cat>
          <c:val>
            <c:numRef>
              <c:f>'Payment Status'!$B$4:$B$8</c:f>
              <c:numCache>
                <c:formatCode>General</c:formatCode>
                <c:ptCount val="4"/>
                <c:pt idx="0">
                  <c:v>69</c:v>
                </c:pt>
                <c:pt idx="1">
                  <c:v>686</c:v>
                </c:pt>
                <c:pt idx="2">
                  <c:v>86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5C-4E99-933D-D5F6C02C6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41910</xdr:rowOff>
    </xdr:from>
    <xdr:to>
      <xdr:col>11</xdr:col>
      <xdr:colOff>571500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9A149-AE28-484D-9EB5-B0CF610BC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6</xdr:row>
      <xdr:rowOff>41910</xdr:rowOff>
    </xdr:from>
    <xdr:to>
      <xdr:col>11</xdr:col>
      <xdr:colOff>502920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CCE190-C3CC-B58F-98CA-DA84BC04C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6</xdr:row>
      <xdr:rowOff>41910</xdr:rowOff>
    </xdr:from>
    <xdr:to>
      <xdr:col>11</xdr:col>
      <xdr:colOff>388620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2BE9D7-1E75-D3B7-5D00-02EF48E38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6</xdr:row>
      <xdr:rowOff>41910</xdr:rowOff>
    </xdr:from>
    <xdr:to>
      <xdr:col>11</xdr:col>
      <xdr:colOff>205740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E4F744-FB00-966E-9E72-7CC500BAF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41910</xdr:rowOff>
    </xdr:from>
    <xdr:to>
      <xdr:col>11</xdr:col>
      <xdr:colOff>571500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5B2A8-67A4-1219-B420-FE27CD07C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6</xdr:row>
      <xdr:rowOff>41910</xdr:rowOff>
    </xdr:from>
    <xdr:to>
      <xdr:col>11</xdr:col>
      <xdr:colOff>259080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07D72-DCA9-9F0D-A2EC-E676EEF17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3</xdr:row>
      <xdr:rowOff>45720</xdr:rowOff>
    </xdr:from>
    <xdr:to>
      <xdr:col>5</xdr:col>
      <xdr:colOff>182880</xdr:colOff>
      <xdr:row>12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2E16D-075C-4BEC-AD37-44CA338D3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</xdr:colOff>
      <xdr:row>3</xdr:row>
      <xdr:rowOff>60960</xdr:rowOff>
    </xdr:from>
    <xdr:to>
      <xdr:col>9</xdr:col>
      <xdr:colOff>441960</xdr:colOff>
      <xdr:row>13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E8261C-FFC3-4B86-A79C-B9020359F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251460</xdr:colOff>
      <xdr:row>15</xdr:row>
      <xdr:rowOff>99060</xdr:rowOff>
    </xdr:from>
    <xdr:to>
      <xdr:col>5</xdr:col>
      <xdr:colOff>586740</xdr:colOff>
      <xdr:row>26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8E0063-E36C-4773-A6BF-E55C0C096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541020</xdr:colOff>
      <xdr:row>15</xdr:row>
      <xdr:rowOff>68580</xdr:rowOff>
    </xdr:from>
    <xdr:to>
      <xdr:col>9</xdr:col>
      <xdr:colOff>960120</xdr:colOff>
      <xdr:row>25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7ECA69-AB7E-4FD4-9DE8-198D64937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1097280</xdr:colOff>
      <xdr:row>3</xdr:row>
      <xdr:rowOff>30480</xdr:rowOff>
    </xdr:from>
    <xdr:to>
      <xdr:col>13</xdr:col>
      <xdr:colOff>525780</xdr:colOff>
      <xdr:row>13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5377CF-1595-46A8-9D14-69F32D37A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1219200</xdr:colOff>
      <xdr:row>15</xdr:row>
      <xdr:rowOff>76200</xdr:rowOff>
    </xdr:from>
    <xdr:to>
      <xdr:col>14</xdr:col>
      <xdr:colOff>60960</xdr:colOff>
      <xdr:row>25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7A224B5-B004-4F71-983F-6B7FBB908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nath" refreshedDate="46200.602179629626" createdVersion="8" refreshedVersion="8" minRefreshableVersion="3" recordCount="912" xr:uid="{02E56A02-F043-43A3-8B5A-80A5ACD5606F}">
  <cacheSource type="worksheet">
    <worksheetSource ref="A1:V913" sheet="raw_orders"/>
  </cacheSource>
  <cacheFields count="25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 containsSemiMixedTypes="0" containsNonDate="0" containsDate="1" containsString="0" minDate="2024-01-01T00:00:00" maxDate="2025-12-11T00:00:00" count="497">
        <d v="2024-07-21T00:00:00"/>
        <d v="2024-08-31T00:00:00"/>
        <d v="2024-06-08T00:00:00"/>
        <d v="2024-11-28T00:00:00"/>
        <d v="2025-08-29T00:00:00"/>
        <d v="2024-05-24T00:00:00"/>
        <d v="2025-04-10T00:00:00"/>
        <d v="2025-02-23T00:00:00"/>
        <d v="2024-11-05T00:00:00"/>
        <d v="2025-07-09T00:00:00"/>
        <d v="2025-05-20T00:00:00"/>
        <d v="2024-07-22T00:00:00"/>
        <d v="2024-12-20T00:00:00"/>
        <d v="2025-12-10T00:00:00"/>
        <d v="2024-12-27T00:00:00"/>
        <d v="2024-07-09T00:00:00"/>
        <d v="2024-05-08T00:00:00"/>
        <d v="2024-01-07T00:00:00"/>
        <d v="2025-07-15T00:00:00"/>
        <d v="2024-07-27T00:00:00"/>
        <d v="2025-01-21T00:00:00"/>
        <d v="2025-01-24T00:00:00"/>
        <d v="2025-01-19T00:00:00"/>
        <d v="2024-04-03T00:00:00"/>
        <d v="2024-11-10T00:00:00"/>
        <d v="2024-11-23T00:00:00"/>
        <d v="2025-09-29T00:00:00"/>
        <d v="2025-08-13T00:00:00"/>
        <d v="2024-09-02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2-11T00:00:00"/>
        <d v="2024-10-10T00:00:00"/>
        <d v="2024-03-12T00:00:00"/>
        <d v="2025-10-10T00:00:00"/>
        <d v="2024-07-08T00:00:00"/>
        <d v="2024-06-22T00:00:00"/>
        <d v="2024-01-18T00:00:00"/>
        <d v="2024-07-19T00:00:00"/>
        <d v="2024-12-08T00:00:00"/>
        <d v="2025-01-30T00:00:00"/>
        <d v="2024-06-04T00:00:00"/>
        <d v="2025-05-11T00:00:00"/>
        <d v="2024-04-24T00:00:00"/>
        <d v="2024-10-26T00:00:00"/>
        <d v="2025-03-31T00:00:00"/>
        <d v="2025-05-30T00:00:00"/>
        <d v="2025-01-07T00:00:00"/>
        <d v="2025-05-01T00:00:00"/>
        <d v="2024-07-02T00:00:00"/>
        <d v="2024-01-09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3-02T00:00:00"/>
        <d v="2024-09-04T00:00:00"/>
        <d v="2025-08-22T00:00:00"/>
        <d v="2025-04-16T00:00:00"/>
        <d v="2024-11-02T00:00:00"/>
        <d v="2025-03-29T00:00:00"/>
        <d v="2025-02-27T00:00:00"/>
        <d v="2024-03-11T00:00:00"/>
        <d v="2025-07-08T00:00:00"/>
        <d v="2025-07-16T00:00:00"/>
        <d v="2025-09-27T00:00:00"/>
        <d v="2024-10-08T00:00:00"/>
        <d v="2025-03-16T00:00:00"/>
        <d v="2024-03-08T00:00:00"/>
        <d v="2024-01-10T00:00:00"/>
        <d v="2024-07-30T00:00:00"/>
        <d v="2024-02-08T00:00:00"/>
        <d v="2024-03-24T00:00:00"/>
        <d v="2024-05-09T00:00:00"/>
        <d v="2025-08-24T00:00:00"/>
        <d v="2025-02-03T00:00:00"/>
        <d v="2025-01-23T00:00:00"/>
        <d v="2024-09-06T00:00:00"/>
        <d v="2025-05-09T00:00:00"/>
        <d v="2024-05-06T00:00:00"/>
        <d v="2025-08-08T00:00:00"/>
        <d v="2024-01-26T00:00:00"/>
        <d v="2025-11-01T00:00:00"/>
        <d v="2025-12-09T00:00:00"/>
        <d v="2025-12-07T00:00:00"/>
        <d v="2025-05-02T00:00:00"/>
        <d v="2025-01-02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10-01T00:00:00"/>
        <d v="2024-12-02T00:00:00"/>
        <d v="2024-09-25T00:00:00"/>
        <d v="2025-02-15T00:00:00"/>
        <d v="2024-02-15T00:00:00"/>
        <d v="2024-06-10T00:00:00"/>
        <d v="2024-12-06T00:00:00"/>
        <d v="2024-11-30T00:00:00"/>
        <d v="2025-07-17T00:00:00"/>
        <d v="2025-09-24T00:00:00"/>
        <d v="2024-12-13T00:00:00"/>
        <d v="2024-01-27T00:00:00"/>
        <d v="2024-04-11T00:00:00"/>
        <d v="2025-07-14T00:00:00"/>
        <d v="2025-09-02T00:00:00"/>
        <d v="2025-01-09T00:00:00"/>
        <d v="2024-01-20T00:00:00"/>
        <d v="2024-05-31T00:00:00"/>
        <d v="2024-03-23T00:00:00"/>
        <d v="2024-03-30T00:00:00"/>
        <d v="2024-07-06T00:00:00"/>
        <d v="2025-11-04T00:00:00"/>
        <d v="2025-07-30T00:00:00"/>
        <d v="2024-01-30T00:00:00"/>
        <d v="2024-06-27T00:00:00"/>
        <d v="2024-06-14T00:00:00"/>
        <d v="2025-09-23T00:00:00"/>
        <d v="2025-01-26T00:00:00"/>
        <d v="2025-03-27T00:00:00"/>
        <d v="2024-10-22T00:00:00"/>
        <d v="2024-09-09T00:00:00"/>
        <d v="2025-08-10T00:00:00"/>
        <d v="2025-07-24T00:00:00"/>
        <d v="2024-09-03T00:00:00"/>
        <d v="2025-09-21T00:00:00"/>
        <d v="2025-09-09T00:00:00"/>
        <d v="2025-02-20T00:00:00"/>
        <d v="2025-08-18T00:00:00"/>
        <d v="2025-01-20T00:00:00"/>
        <d v="2025-09-13T00:00:00"/>
        <d v="2025-02-08T00:00:00"/>
        <d v="2024-02-05T00:00:00"/>
        <d v="2025-09-28T00:00:00"/>
        <d v="2025-03-18T00:00:00"/>
        <d v="2024-01-06T00:00:00"/>
        <d v="2024-09-30T00:00:00"/>
        <d v="2024-03-15T00:00:00"/>
        <d v="2024-08-26T00:00:00"/>
        <d v="2024-10-16T00:00:00"/>
        <d v="2025-06-24T00:00:00"/>
        <d v="2024-02-04T00:00:00"/>
        <d v="2025-01-05T00:00:00"/>
        <d v="2025-05-21T00:00:00"/>
        <d v="2025-06-05T00:00:00"/>
        <d v="2025-04-20T00:00:00"/>
        <d v="2024-10-19T00:00:00"/>
        <d v="2024-09-12T00:00:00"/>
        <d v="2024-06-23T00:00:00"/>
        <d v="2025-01-28T00:00:00"/>
        <d v="2025-07-22T00:00:00"/>
        <d v="2024-01-22T00:00:00"/>
        <d v="2025-07-26T00:00:00"/>
        <d v="2025-03-28T00:00:00"/>
        <d v="2024-03-28T00:00:00"/>
        <d v="2025-07-20T00:00:00"/>
        <d v="2025-04-21T00:00:00"/>
        <d v="2025-05-18T00:00:00"/>
        <d v="2024-10-07T00:00:00"/>
        <d v="2025-06-29T00:00:00"/>
        <d v="2024-05-16T00:00:00"/>
        <d v="2024-09-21T00:00:00"/>
        <d v="2024-05-15T00:00:00"/>
        <d v="2024-03-17T00:00:00"/>
        <d v="2024-01-03T00:00:00"/>
        <d v="2025-01-04T00:00:00"/>
        <d v="2025-02-26T00:00:00"/>
        <d v="2024-06-18T00:00:00"/>
        <d v="2025-12-01T00:00:00"/>
        <d v="2025-04-29T00:00:00"/>
        <d v="2025-02-19T00:00:00"/>
        <d v="2025-10-02T00:00:00"/>
        <d v="2024-02-09T00:00:00"/>
        <d v="2025-10-04T00:00:00"/>
        <d v="2024-05-07T00:00:00"/>
        <d v="2025-06-28T00:00:00"/>
        <d v="2024-05-28T00:00:00"/>
        <d v="2025-04-06T00:00:00"/>
        <d v="2024-10-14T00:00:00"/>
        <d v="2024-08-27T00:00:00"/>
        <d v="2024-01-12T00:00:00"/>
        <d v="2024-12-17T00:00:00"/>
        <d v="2025-07-06T00:00:00"/>
        <d v="2025-07-02T00:00:00"/>
        <d v="2024-08-23T00:00:00"/>
        <d v="2024-04-05T00:00:00"/>
        <d v="2024-07-25T00:00:00"/>
        <d v="2024-06-02T00:00:00"/>
        <d v="2025-08-01T00:00:00"/>
        <d v="2024-02-21T00:00:00"/>
        <d v="2025-06-04T00:00:00"/>
        <d v="2025-06-25T00:00:00"/>
        <d v="2024-12-09T00:00:00"/>
        <d v="2025-01-01T00:00:00"/>
        <d v="2025-04-02T00:00:00"/>
        <d v="2024-05-11T00:00:00"/>
        <d v="2025-09-08T00:00:00"/>
        <d v="2024-12-30T00:00:00"/>
        <d v="2024-06-21T00:00:00"/>
        <d v="2025-06-18T00:00:00"/>
        <d v="2025-05-26T00:00:00"/>
        <d v="2025-06-08T00:00:00"/>
        <d v="2024-11-14T00:00:00"/>
        <d v="2025-03-05T00:00:00"/>
        <d v="2025-05-28T00:00:00"/>
        <d v="2025-08-17T00:00:00"/>
        <d v="2025-02-10T00:00:00"/>
        <d v="2024-12-21T00:00:00"/>
        <d v="2024-08-18T00:00:00"/>
        <d v="2025-02-13T00:00:00"/>
        <d v="2024-07-04T00:00:00"/>
        <d v="2025-07-03T00:00:00"/>
        <d v="2024-04-09T00:00:00"/>
        <d v="2025-07-25T00:00:00"/>
        <d v="2025-03-13T00:00:00"/>
        <d v="2025-08-15T00:00:00"/>
        <d v="2024-02-28T00:00:00"/>
        <d v="2024-09-05T00:00:00"/>
        <d v="2025-06-19T00:00:00"/>
        <d v="2025-02-28T00:00:00"/>
        <d v="2024-03-07T00:00:00"/>
        <d v="2025-05-24T00:00:00"/>
        <d v="2024-06-11T00:00:00"/>
        <d v="2024-04-15T00:00:00"/>
        <d v="2024-03-06T00:00:00"/>
        <d v="2024-01-05T00:00:00"/>
        <d v="2025-06-13T00:00:00"/>
        <d v="2024-04-07T00:00:00"/>
        <d v="2024-04-27T00:00:00"/>
        <d v="2024-07-31T00:00:00"/>
        <d v="2024-02-07T00:00:00"/>
        <d v="2024-02-16T00:00:00"/>
        <d v="2024-04-25T00:00:00"/>
        <d v="2024-08-21T00:00:00"/>
        <d v="2024-12-04T00:00:00"/>
        <d v="2024-02-25T00:00:00"/>
        <d v="2025-07-31T00:00:00"/>
        <d v="2025-09-16T00:00:00"/>
        <d v="2024-07-24T00:00:00"/>
        <d v="2025-05-29T00:00:00"/>
        <d v="2025-12-05T00:00:00"/>
        <d v="2024-04-12T00:00:00"/>
        <d v="2025-05-27T00:00:00"/>
        <d v="2025-06-22T00:00:00"/>
        <d v="2025-06-16T00:00:00"/>
        <d v="2024-08-12T00:00:00"/>
        <d v="2024-01-21T00:00:00"/>
        <d v="2025-08-09T00:00:00"/>
        <d v="2025-10-03T00:00:00"/>
        <d v="2024-11-03T00:00:00"/>
        <d v="2024-09-14T00:00:00"/>
        <d v="2024-07-01T00:00:00"/>
        <d v="2025-05-23T00:00:00"/>
        <d v="2025-02-21T00:00:00"/>
        <d v="2024-12-05T00:00:00"/>
        <d v="2025-07-07T00:00:00"/>
        <d v="2025-03-21T00:00:00"/>
        <d v="2024-06-15T00:00:00"/>
        <d v="2025-01-16T00:00:00"/>
        <d v="2025-06-07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4-03T00:00:00"/>
        <d v="2025-02-12T00:00:00"/>
        <d v="2025-10-08T00:00:00"/>
        <d v="2024-05-13T00:00:00"/>
        <d v="2024-05-04T00:00:00"/>
        <d v="2025-02-14T00:00:00"/>
        <d v="2024-02-19T00:00:00"/>
        <d v="2024-03-04T00:00:00"/>
        <d v="2024-06-06T00:00:00"/>
        <d v="2025-04-14T00:00:00"/>
        <d v="2025-09-06T00:00:00"/>
        <d v="2025-04-24T00:00:00"/>
        <d v="2025-06-06T00:00:00"/>
        <d v="2025-09-03T00:00:00"/>
        <d v="2024-03-22T00:00:00"/>
        <d v="2024-09-23T00:00:00"/>
        <d v="2025-02-25T00:00:00"/>
        <d v="2024-08-29T00:00:00"/>
        <d v="2025-01-29T00:00:00"/>
        <d v="2024-11-09T00:00:00"/>
        <d v="2025-09-26T00:00:00"/>
        <d v="2025-06-14T00:00:00"/>
        <d v="2024-06-26T00:00:00"/>
        <d v="2024-09-26T00:00:00"/>
        <d v="2024-06-30T00:00:00"/>
        <d v="2025-04-22T00:00:00"/>
        <d v="2025-03-15T00:00:00"/>
        <d v="2025-01-03T00:00:00"/>
        <d v="2024-08-30T00:00:00"/>
        <d v="2024-10-02T00:00:00"/>
        <d v="2024-04-19T00:00:00"/>
        <d v="2025-04-11T00:00:00"/>
        <d v="2025-12-04T00:00:00"/>
        <d v="2024-06-16T00:00:00"/>
        <d v="2025-07-05T00:00:00"/>
        <d v="2025-06-30T00:00:00"/>
        <d v="2024-04-02T00:00:00"/>
        <d v="2024-03-10T00:00:00"/>
        <d v="2024-04-04T00:00:00"/>
        <d v="2025-12-08T00:00:00"/>
        <d v="2025-09-18T00:00:00"/>
        <d v="2024-01-15T00:00:00"/>
        <d v="2025-06-12T00:00:00"/>
        <d v="2024-10-05T00:00:00"/>
        <d v="2025-05-03T00:00:00"/>
        <d v="2025-03-23T00:00:00"/>
        <d v="2024-07-18T00:00:00"/>
        <d v="2025-09-30T00:00:00"/>
        <d v="2025-05-25T00:00:00"/>
        <d v="2025-11-03T00:00:00"/>
        <d v="2024-01-29T00:00:00"/>
        <d v="2024-04-01T00:00:00"/>
        <d v="2024-08-20T00:00:00"/>
        <d v="2025-09-01T00:00:00"/>
        <d v="2024-01-19T00:00:00"/>
        <d v="2024-07-28T00:00:00"/>
        <d v="2024-02-03T00:00:00"/>
        <d v="2024-11-13T00:00:00"/>
        <d v="2025-03-01T00:00:00"/>
        <d v="2024-06-09T00:00:00"/>
        <d v="2024-02-23T00:00:00"/>
        <d v="2025-05-06T00:00:00"/>
        <d v="2024-12-25T00:00:00"/>
        <d v="2024-12-28T00:00:00"/>
        <d v="2025-01-22T00:00:00"/>
        <d v="2025-10-06T00:00:00"/>
        <d v="2024-09-16T00:00:00"/>
        <d v="2025-04-07T00:00:00"/>
        <d v="2024-12-22T00:00:00"/>
        <d v="2024-05-17T00:00:00"/>
        <d v="2024-11-08T00:00:00"/>
        <d v="2024-09-28T00:00:00"/>
        <d v="2025-12-02T00:00:00"/>
        <d v="2024-09-11T00:00:00"/>
        <d v="2024-12-15T00:00:00"/>
        <d v="2025-04-15T00:00:00"/>
        <d v="2024-03-31T00:00:00"/>
        <d v="2024-10-23T00:00:00"/>
        <d v="2024-11-18T00:00:00"/>
        <d v="2025-04-30T00:00:00"/>
        <d v="2025-03-07T00:00:00"/>
        <d v="2024-07-16T00:00:00"/>
        <d v="2025-03-25T00:00:00"/>
        <d v="2024-10-17T00:00:00"/>
        <d v="2025-07-18T00:00:00"/>
        <d v="2025-01-10T00:00:00"/>
        <d v="2024-07-10T00:00:00"/>
        <d v="2024-01-08T00:00:00"/>
        <d v="2025-05-10T00:00:00"/>
        <d v="2024-08-25T00:00:00"/>
        <d v="2025-04-27T00:00:00"/>
        <d v="2024-05-19T00:00:00"/>
        <d v="2025-07-04T00:00:00"/>
        <d v="2024-02-26T00:00:00"/>
        <d v="2025-08-07T00:00:00"/>
        <d v="2024-09-17T00:00:00"/>
        <d v="2024-07-14T00:00:00"/>
        <d v="2024-05-27T00:00:00"/>
        <d v="2025-08-14T00:00:00"/>
        <d v="2025-10-11T00:00:00"/>
        <d v="2024-02-27T00:00:00"/>
        <d v="2025-04-25T00:00:00"/>
        <d v="2024-12-10T00:00:00"/>
        <d v="2024-08-05T00:00:00"/>
        <d v="2025-04-09T00:00:00"/>
        <d v="2024-01-16T00:00:00"/>
        <d v="2024-01-02T00:00:00"/>
        <d v="2025-09-22T00:00:00"/>
        <d v="2024-02-17T00:00:00"/>
        <d v="2024-06-19T00:00:00"/>
        <d v="2025-06-03T00:00:00"/>
        <d v="2024-10-15T00:00:00"/>
        <d v="2024-08-04T00:00:00"/>
        <d v="2025-07-23T00:00:00"/>
        <d v="2024-06-12T00:00:00"/>
        <d v="2024-02-22T00:00:00"/>
        <d v="2025-02-11T00:00:00"/>
        <d v="2024-10-04T00:00:00"/>
        <d v="2024-08-17T00:00:00"/>
        <d v="2024-08-19T00:00:00"/>
        <d v="2025-09-07T00:00:00"/>
        <d v="2025-02-22T00:00:00"/>
        <d v="2025-02-16T00:00:00"/>
        <d v="2024-05-20T00:00:00"/>
        <d v="2024-05-10T00:00:00"/>
        <d v="2024-04-10T00:00:00"/>
        <d v="2024-08-16T00:00:00"/>
        <d v="2024-09-29T00:00:00"/>
        <d v="2024-07-23T00:00:00"/>
        <d v="2024-08-08T00:00:00"/>
        <d v="2025-09-10T00:00:00"/>
        <d v="2025-04-18T00:00:00"/>
        <d v="2025-01-11T00:00:00"/>
        <d v="2024-02-10T00:00:00"/>
        <d v="2024-05-26T00:00:00"/>
        <d v="2025-01-14T00:00:00"/>
        <d v="2025-09-04T00:00:00"/>
        <d v="2024-05-02T00:00:00"/>
        <d v="2024-09-18T00:00:00"/>
        <d v="2024-04-21T00:00:00"/>
        <d v="2025-11-08T00:00:00"/>
        <d v="2024-04-13T00:00:00"/>
        <d v="2025-03-17T00:00:00"/>
        <d v="2025-04-04T00:00:00"/>
        <d v="2025-10-12T00:00:00"/>
        <d v="2025-08-26T00:00:00"/>
        <d v="2024-07-05T00:00:00"/>
        <d v="2024-01-14T00:00:00"/>
        <d v="2024-07-12T00:00:00"/>
        <d v="2025-01-13T00:00:00"/>
        <d v="2024-11-21T00:00:00"/>
        <d v="2025-02-02T00:00:00"/>
        <d v="2024-05-18T00:00:00"/>
        <d v="2025-09-11T00:00:00"/>
        <d v="2024-11-24T00:00:00"/>
        <d v="2025-07-21T00:00:00"/>
        <d v="2024-03-25T00:00:00"/>
        <d v="2025-03-04T00:00:00"/>
        <d v="2025-01-08T00:00:00"/>
        <d v="2024-11-06T00:00:00"/>
        <d v="2024-04-30T00:00:00"/>
        <d v="2024-03-13T00:00:00"/>
        <d v="2024-08-09T00:00:00"/>
        <d v="2025-03-20T00:00:00"/>
        <d v="2025-03-22T00:00:00"/>
        <d v="2025-10-05T00:00:00"/>
        <d v="2024-01-17T00:00:00"/>
        <d v="2024-10-13T00:00:00"/>
        <d v="2025-05-17T00:00:00"/>
        <d v="2024-08-24T00:00:00"/>
        <d v="2025-04-23T00:00:00"/>
        <d v="2024-10-24T00:00:00"/>
        <d v="2025-04-01T00:00:00"/>
        <d v="2024-05-30T00:00:00"/>
        <d v="2024-03-21T00:00:00"/>
        <d v="2025-06-02T00:00:00"/>
        <d v="2024-10-27T00:00:00"/>
        <d v="2024-08-28T00:00:00"/>
        <d v="2025-08-27T00:00:00"/>
        <d v="2024-01-01T00:00:00"/>
        <d v="2024-03-05T00:00:00"/>
        <d v="2025-02-04T00:00:00"/>
        <d v="2024-12-07T00:00:00"/>
        <d v="2024-04-14T00:00:00"/>
        <d v="2025-08-06T00:00:00"/>
        <d v="2024-04-08T00:00:00"/>
        <d v="2024-02-02T00:00:00"/>
        <d v="2025-03-14T00:00:00"/>
        <d v="2024-05-23T00:00:00"/>
        <d v="2024-04-18T00:00:00"/>
        <d v="2025-11-07T00:00:00"/>
        <d v="2025-10-09T00:00:00"/>
        <d v="2025-08-31T00:00:00"/>
        <d v="2024-12-12T00:00:00"/>
        <d v="2024-11-27T00:00:00"/>
        <d v="2025-05-04T00:00:00"/>
        <d v="2024-10-12T00:00:00"/>
        <d v="2025-06-01T00:00:00"/>
        <d v="2024-04-06T00:00:00"/>
        <d v="2024-09-20T00:00:00"/>
        <d v="2024-06-03T00:00:00"/>
        <d v="2024-03-26T00:00:00"/>
        <d v="2024-01-04T00:00:00"/>
        <d v="2025-05-16T00:00:00"/>
        <d v="2025-08-03T00:00:00"/>
        <d v="2025-03-26T00:00:00"/>
        <d v="2025-02-09T00:00:00"/>
        <d v="2025-03-06T00:00:00"/>
        <d v="2024-11-01T00:00:00"/>
        <d v="2024-08-03T00:00:00"/>
        <d v="2025-04-28T00:00:00"/>
        <d v="2025-01-18T00:00:00"/>
        <d v="2024-05-01T00:00:00"/>
        <d v="2025-04-26T00:00:00"/>
        <d v="2024-08-10T00:00:00"/>
        <d v="2025-04-12T00:00:00"/>
        <d v="2024-12-24T00:00:00"/>
        <d v="2024-02-06T00:00:00"/>
      </sharedItems>
      <fieldGroup par="24"/>
    </cacheField>
    <cacheField name="ship_date" numFmtId="0">
      <sharedItems containsSemiMixedTypes="0" containsNonDate="0" containsDate="1" containsString="0" minDate="2024-01-02T00:00:00" maxDate="2025-12-11T00:00:00"/>
    </cacheField>
    <cacheField name="shipping_delay_days" numFmtId="2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ntainsBlank="1" count="5">
        <s v="North"/>
        <s v="East"/>
        <s v="South"/>
        <s v="West"/>
        <m/>
      </sharedItems>
    </cacheField>
    <cacheField name="state" numFmtId="0">
      <sharedItems count="19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</sharedItems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/>
    </cacheField>
    <cacheField name="product_name" numFmtId="0">
      <sharedItems/>
    </cacheField>
    <cacheField name="ship_mode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Quarters (order_date)" numFmtId="0" databaseField="0">
      <fieldGroup base="1">
        <rangePr groupBy="quarters" startDate="2024-01-01T00:00:00" endDate="2025-12-11T00:00:00"/>
        <groupItems count="6">
          <s v="&lt;01-01-2024"/>
          <s v="Qtr1"/>
          <s v="Qtr2"/>
          <s v="Qtr3"/>
          <s v="Qtr4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x v="0"/>
    <d v="2024-07-27T00:00:00"/>
    <n v="6"/>
    <s v="CUST-4655"/>
    <s v="Karan Malhotra"/>
    <s v="Consumer"/>
    <x v="0"/>
    <x v="0"/>
    <s v="Jaipur"/>
    <x v="0"/>
    <s v="Paper"/>
    <s v="Pro Paper 122"/>
    <x v="0"/>
    <n v="8"/>
    <n v="2976.45"/>
    <n v="0.2"/>
    <n v="19049.28"/>
    <n v="15841.89"/>
    <n v="3207.39"/>
    <x v="0"/>
    <s v="Completed"/>
  </r>
  <r>
    <x v="1"/>
    <x v="1"/>
    <d v="2024-05-09T00:00:00"/>
    <n v="-114"/>
    <s v="CUST-2054"/>
    <s v="Mira Das"/>
    <s v="Small Business"/>
    <x v="1"/>
    <x v="1"/>
    <s v="Bhubaneswar"/>
    <x v="1"/>
    <s v="Tables"/>
    <s v="Pro Tables 258"/>
    <x v="1"/>
    <n v="3"/>
    <n v="2437.5"/>
    <n v="0"/>
    <n v="7312.5"/>
    <n v="4904.7299999999996"/>
    <n v="2407.77"/>
    <x v="0"/>
    <s v="Completed"/>
  </r>
  <r>
    <x v="2"/>
    <x v="2"/>
    <d v="2024-06-15T00:00:00"/>
    <n v="7"/>
    <s v="CUST-6843"/>
    <s v="Isha Nair"/>
    <s v="Consumer"/>
    <x v="1"/>
    <x v="1"/>
    <s v="Bhubaneswar"/>
    <x v="0"/>
    <s v="Art"/>
    <s v="Elite Art 525"/>
    <x v="2"/>
    <n v="4"/>
    <n v="1065.43"/>
    <n v="0.55000000000000004"/>
    <n v="4261.72"/>
    <n v="2465.69"/>
    <n v="1796.03"/>
    <x v="0"/>
    <s v="Completed"/>
  </r>
  <r>
    <x v="3"/>
    <x v="3"/>
    <d v="2024-11-29T00:00:00"/>
    <n v="1"/>
    <s v="CUST-3722"/>
    <s v="Arjun Bose"/>
    <s v="Small Business"/>
    <x v="2"/>
    <x v="2"/>
    <s v="Hyderabad"/>
    <x v="1"/>
    <s v="Furnishings"/>
    <s v="Smart Furnishings 294"/>
    <x v="3"/>
    <n v="6"/>
    <n v="1848.43"/>
    <n v="0.25"/>
    <n v="8317.93"/>
    <n v="6796.77"/>
    <n v="1521.16"/>
    <x v="0"/>
    <s v="Completed"/>
  </r>
  <r>
    <x v="4"/>
    <x v="4"/>
    <d v="2025-01-09T00:00:00"/>
    <n v="-232"/>
    <s v="CUST-8130"/>
    <s v="Ananya Rao"/>
    <s v="Small Business"/>
    <x v="3"/>
    <x v="3"/>
    <s v="Mumbai"/>
    <x v="1"/>
    <s v="Chairs"/>
    <s v="Elite Chairs 543"/>
    <x v="2"/>
    <n v="7"/>
    <n v="2973.76"/>
    <n v="0"/>
    <n v="20816.32"/>
    <n v="17705.37"/>
    <n v="3110.95"/>
    <x v="0"/>
    <s v="Cancelled"/>
  </r>
  <r>
    <x v="5"/>
    <x v="5"/>
    <d v="2024-05-28T00:00:00"/>
    <n v="4"/>
    <s v="CUST-6056"/>
    <s v="Vikram Iyer"/>
    <s v="Small Business"/>
    <x v="3"/>
    <x v="4"/>
    <s v="Indore"/>
    <x v="2"/>
    <s v="Accessories"/>
    <s v="Pro Accessories 821"/>
    <x v="1"/>
    <n v="3"/>
    <n v="1053.1099999999999"/>
    <n v="0.2"/>
    <n v="2527.46"/>
    <n v="1533.58"/>
    <n v="993.88"/>
    <x v="0"/>
    <s v="Completed"/>
  </r>
  <r>
    <x v="6"/>
    <x v="6"/>
    <d v="2025-04-16T00:00:00"/>
    <n v="6"/>
    <s v="CUST-3656"/>
    <s v="Neha Gupta"/>
    <s v="Consumer"/>
    <x v="1"/>
    <x v="1"/>
    <s v="Bhubaneswar"/>
    <x v="2"/>
    <s v="Copiers"/>
    <s v="Eco Copiers 790"/>
    <x v="3"/>
    <n v="4"/>
    <n v="1719.87"/>
    <n v="0.15"/>
    <n v="5847.56"/>
    <n v="4727.25"/>
    <n v="1120.31"/>
    <x v="0"/>
    <s v="Completed"/>
  </r>
  <r>
    <x v="7"/>
    <x v="7"/>
    <d v="2025-02-26T00:00:00"/>
    <n v="3"/>
    <s v="CUST-4683"/>
    <s v="Isha Nair"/>
    <s v="Small Business"/>
    <x v="2"/>
    <x v="5"/>
    <s v="Vijayawada"/>
    <x v="0"/>
    <s v="Art"/>
    <s v="Eco Art 848"/>
    <x v="2"/>
    <n v="1"/>
    <n v="2980.71"/>
    <n v="0"/>
    <n v="2980.71"/>
    <n v="2357.2199999999998"/>
    <n v="623.49"/>
    <x v="0"/>
    <s v="Completed"/>
  </r>
  <r>
    <x v="8"/>
    <x v="8"/>
    <d v="2024-11-10T00:00:00"/>
    <n v="5"/>
    <s v="CUST-2598"/>
    <s v="Aditi Sen"/>
    <s v="Corporate"/>
    <x v="2"/>
    <x v="2"/>
    <s v="Hyderabad"/>
    <x v="0"/>
    <s v="Labels"/>
    <s v="Classic Labels 815"/>
    <x v="2"/>
    <n v="8"/>
    <n v="3134.2"/>
    <n v="0"/>
    <n v="25073.599999999999"/>
    <n v="17347.23"/>
    <n v="7726.37"/>
    <x v="0"/>
    <s v="Completed"/>
  </r>
  <r>
    <x v="9"/>
    <x v="9"/>
    <d v="2025-09-12T00:00:00"/>
    <n v="65"/>
    <s v="CUST-2483"/>
    <s v="Mira Das"/>
    <s v="Home Office"/>
    <x v="2"/>
    <x v="2"/>
    <s v="Hyderabad"/>
    <x v="0"/>
    <s v="Paper"/>
    <s v="Pro Paper 622"/>
    <x v="0"/>
    <n v="9"/>
    <n v="852.04"/>
    <n v="0.2"/>
    <n v="6134.69"/>
    <n v="3800.19"/>
    <n v="2334.5"/>
    <x v="0"/>
    <s v="Completed"/>
  </r>
  <r>
    <x v="10"/>
    <x v="10"/>
    <d v="2025-05-20T00:00:00"/>
    <n v="0"/>
    <s v="CUST-8092"/>
    <s v="Ananya Rao"/>
    <s v="Corporate"/>
    <x v="1"/>
    <x v="6"/>
    <s v="Kolkata"/>
    <x v="0"/>
    <s v="Labels"/>
    <s v="Prime Labels 644"/>
    <x v="0"/>
    <n v="3"/>
    <n v="3534.83"/>
    <n v="0.05"/>
    <n v="10074.27"/>
    <n v="6048.27"/>
    <n v="4026"/>
    <x v="1"/>
    <s v="Returned"/>
  </r>
  <r>
    <x v="11"/>
    <x v="11"/>
    <d v="2024-07-23T00:00:00"/>
    <n v="1"/>
    <s v="CUST-6528"/>
    <s v="Vikram Iyer"/>
    <s v="Small Business"/>
    <x v="1"/>
    <x v="1"/>
    <s v="Bhubaneswar"/>
    <x v="2"/>
    <s v="Accessories"/>
    <s v="Smart Accessories 603"/>
    <x v="1"/>
    <n v="6"/>
    <n v="2005.95"/>
    <n v="0.2"/>
    <n v="9628.56"/>
    <n v="8038.59"/>
    <n v="1589.97"/>
    <x v="0"/>
    <s v="Completed"/>
  </r>
  <r>
    <x v="12"/>
    <x v="12"/>
    <d v="2024-12-21T00:00:00"/>
    <n v="1"/>
    <s v="CUST-2648"/>
    <s v="Ananya Rao"/>
    <s v="Corporate"/>
    <x v="3"/>
    <x v="0"/>
    <s v="Udaipur"/>
    <x v="0"/>
    <s v="Paper"/>
    <s v="Pro Paper 481"/>
    <x v="2"/>
    <n v="1"/>
    <n v="702.14"/>
    <n v="0.15"/>
    <n v="596.82000000000005"/>
    <n v="380.25"/>
    <n v="216.57"/>
    <x v="2"/>
    <s v="Returned"/>
  </r>
  <r>
    <x v="13"/>
    <x v="13"/>
    <d v="2025-10-16T00:00:00"/>
    <n v="-55"/>
    <s v="CUST-7482"/>
    <s v="Priya Menon"/>
    <s v="Small Business"/>
    <x v="3"/>
    <x v="3"/>
    <s v="Mumbai"/>
    <x v="0"/>
    <s v="Art"/>
    <s v="Smart Art 795"/>
    <x v="0"/>
    <n v="7"/>
    <n v="3964.72"/>
    <n v="0.05"/>
    <n v="26365.39"/>
    <n v="22306.240000000002"/>
    <n v="4059.15"/>
    <x v="0"/>
    <s v="Completed"/>
  </r>
  <r>
    <x v="14"/>
    <x v="14"/>
    <d v="2024-12-28T00:00:00"/>
    <n v="1"/>
    <s v="CUST-4912"/>
    <s v="Rahul Verma"/>
    <s v="Consumer"/>
    <x v="3"/>
    <x v="0"/>
    <s v="Udaipur"/>
    <x v="2"/>
    <s v="Copiers"/>
    <s v="Max Copiers 983"/>
    <x v="3"/>
    <n v="2"/>
    <n v="2737.83"/>
    <n v="0.25"/>
    <n v="4106.74"/>
    <n v="2666.3"/>
    <n v="1440.44"/>
    <x v="0"/>
    <s v="Completed"/>
  </r>
  <r>
    <x v="15"/>
    <x v="15"/>
    <d v="2024-09-07T00:00:00"/>
    <n v="60"/>
    <s v="CUST-7656"/>
    <s v="Karan Malhotra"/>
    <s v="Small Business"/>
    <x v="0"/>
    <x v="7"/>
    <s v="Ludhiana"/>
    <x v="0"/>
    <s v="Storage"/>
    <s v="Classic Storage 198"/>
    <x v="0"/>
    <n v="6"/>
    <n v="3965.76"/>
    <n v="0"/>
    <n v="23794.560000000001"/>
    <n v="15698.47"/>
    <n v="8096.09"/>
    <x v="0"/>
    <s v="Completed"/>
  </r>
  <r>
    <x v="16"/>
    <x v="16"/>
    <d v="2024-05-15T00:00:00"/>
    <n v="7"/>
    <s v="CUST-6214"/>
    <s v="Aarav Sharma"/>
    <s v="Consumer"/>
    <x v="2"/>
    <x v="2"/>
    <s v="Hyderabad"/>
    <x v="0"/>
    <s v="Art"/>
    <s v="Basic Art 204"/>
    <x v="2"/>
    <n v="4"/>
    <n v="3323.51"/>
    <n v="0.25"/>
    <n v="9970.5300000000007"/>
    <n v="5668.17"/>
    <n v="4302.3599999999997"/>
    <x v="0"/>
    <s v="Completed"/>
  </r>
  <r>
    <x v="17"/>
    <x v="17"/>
    <d v="2024-08-01T00:00:00"/>
    <n v="207"/>
    <s v="CUST-1626"/>
    <s v="Sneha Kapoor"/>
    <s v="Small Business"/>
    <x v="0"/>
    <x v="0"/>
    <s v="Jaipur"/>
    <x v="1"/>
    <s v="Furnishings"/>
    <s v="Basic Furnishings 434"/>
    <x v="1"/>
    <n v="5"/>
    <n v="1526.78"/>
    <n v="0"/>
    <n v="7633.9"/>
    <n v="4706.91"/>
    <n v="2926.99"/>
    <x v="0"/>
    <s v="Completed"/>
  </r>
  <r>
    <x v="18"/>
    <x v="18"/>
    <d v="2025-07-17T00:00:00"/>
    <n v="2"/>
    <s v="CUST-2110"/>
    <s v="Aarav Sharma"/>
    <s v="Home Office"/>
    <x v="0"/>
    <x v="8"/>
    <s v="Noida"/>
    <x v="2"/>
    <s v="Copiers"/>
    <s v="Eco Copiers 755"/>
    <x v="2"/>
    <n v="2"/>
    <n v="1997.99"/>
    <n v="0"/>
    <n v="3995.98"/>
    <n v="2633.2"/>
    <n v="1362.78"/>
    <x v="1"/>
    <s v="Cancelled"/>
  </r>
  <r>
    <x v="19"/>
    <x v="19"/>
    <d v="2024-07-31T00:00:00"/>
    <n v="4"/>
    <s v="CUST-3186"/>
    <s v="Rohan Mehta"/>
    <s v="Home Office"/>
    <x v="3"/>
    <x v="4"/>
    <s v="Indore"/>
    <x v="0"/>
    <s v="Storage"/>
    <s v="Prime Storage 121"/>
    <x v="0"/>
    <n v="3"/>
    <n v="3887.94"/>
    <n v="-0.19"/>
    <n v="9331.06"/>
    <n v="7529.31"/>
    <n v="1801.75"/>
    <x v="0"/>
    <s v="Completed"/>
  </r>
  <r>
    <x v="20"/>
    <x v="20"/>
    <d v="2025-01-23T00:00:00"/>
    <n v="2"/>
    <s v="CUST-3190"/>
    <s v="Aditi Sen"/>
    <s v="Home Office"/>
    <x v="1"/>
    <x v="9"/>
    <s v="Patna"/>
    <x v="2"/>
    <s v="Copiers"/>
    <s v="Elite Copiers 233"/>
    <x v="2"/>
    <n v="5"/>
    <n v="4373.0600000000004"/>
    <n v="0.25"/>
    <n v="16398.98"/>
    <n v="9556.52"/>
    <n v="6842.46"/>
    <x v="0"/>
    <s v="Completed"/>
  </r>
  <r>
    <x v="21"/>
    <x v="21"/>
    <d v="2025-01-30T00:00:00"/>
    <n v="6"/>
    <s v="CUST-3036"/>
    <s v="Sneha Kapoor"/>
    <s v="Consumer"/>
    <x v="3"/>
    <x v="4"/>
    <s v="Indore"/>
    <x v="1"/>
    <s v="Furnishings"/>
    <s v="Eco Furnishings 897"/>
    <x v="0"/>
    <n v="4"/>
    <n v="697.69"/>
    <n v="-0.23"/>
    <n v="2790.76"/>
    <n v="2037.71"/>
    <n v="753.05"/>
    <x v="0"/>
    <s v="Completed"/>
  </r>
  <r>
    <x v="22"/>
    <x v="22"/>
    <d v="2025-01-21T00:00:00"/>
    <n v="2"/>
    <s v="CUST-3588"/>
    <s v="Mira Das"/>
    <s v="Consumer"/>
    <x v="2"/>
    <x v="2"/>
    <s v="Hyderabad"/>
    <x v="0"/>
    <s v="Binders"/>
    <s v="Max Binders 355"/>
    <x v="3"/>
    <n v="8"/>
    <n v="1219.3399999999999"/>
    <n v="0.15"/>
    <n v="8291.51"/>
    <n v="6685.03"/>
    <n v="1606.48"/>
    <x v="3"/>
    <s v="Returned"/>
  </r>
  <r>
    <x v="23"/>
    <x v="4"/>
    <d v="2025-08-31T00:00:00"/>
    <n v="2"/>
    <s v="CUST-7098"/>
    <s v="Rahul Verma"/>
    <s v="Home Office"/>
    <x v="1"/>
    <x v="9"/>
    <s v="Patna"/>
    <x v="1"/>
    <s v="Bookcases"/>
    <s v="Pro Bookcases 394"/>
    <x v="2"/>
    <n v="4"/>
    <n v="1958.01"/>
    <n v="0.2"/>
    <n v="6265.63"/>
    <n v="4321.8599999999997"/>
    <n v="1943.77"/>
    <x v="0"/>
    <s v="Completed"/>
  </r>
  <r>
    <x v="24"/>
    <x v="23"/>
    <d v="2024-03-01T00:00:00"/>
    <n v="-33"/>
    <s v="CUST-1747"/>
    <s v="Diya Patel"/>
    <s v="Consumer"/>
    <x v="0"/>
    <x v="7"/>
    <s v="Ludhiana"/>
    <x v="0"/>
    <s v="Art"/>
    <s v="Max Art 215"/>
    <x v="3"/>
    <n v="4"/>
    <n v="4492.9399999999996"/>
    <n v="0.25"/>
    <n v="13478.82"/>
    <n v="10937.35"/>
    <n v="2541.4699999999998"/>
    <x v="2"/>
    <s v="Cancelled"/>
  </r>
  <r>
    <x v="25"/>
    <x v="24"/>
    <d v="2024-10-19T00:00:00"/>
    <n v="-22"/>
    <s v="CUST-1731"/>
    <s v="Arjun Bose"/>
    <s v="Corporate"/>
    <x v="1"/>
    <x v="10"/>
    <s v="Guwahati"/>
    <x v="2"/>
    <s v="Accessories"/>
    <s v="Classic Accessories 478"/>
    <x v="2"/>
    <n v="2"/>
    <n v="4315.2"/>
    <n v="0.15"/>
    <n v="7335.84"/>
    <n v="4968.41"/>
    <n v="2367.4299999999998"/>
    <x v="0"/>
    <s v="Completed"/>
  </r>
  <r>
    <x v="26"/>
    <x v="25"/>
    <d v="2024-11-23T00:00:00"/>
    <n v="0"/>
    <s v="CUST-4401"/>
    <s v="Diya Patel"/>
    <s v="Corporate"/>
    <x v="0"/>
    <x v="8"/>
    <s v="Noida"/>
    <x v="2"/>
    <s v="Phones"/>
    <s v="Pro Phones 243"/>
    <x v="3"/>
    <n v="4"/>
    <n v="716.13"/>
    <n v="0.1"/>
    <n v="2578.0700000000002"/>
    <n v="1527.55"/>
    <n v="1050.52"/>
    <x v="0"/>
    <s v="Returned"/>
  </r>
  <r>
    <x v="27"/>
    <x v="26"/>
    <d v="2025-05-10T00:00:00"/>
    <n v="-142"/>
    <s v="CUST-9875"/>
    <s v="Arjun Bose"/>
    <s v="Small Business"/>
    <x v="2"/>
    <x v="11"/>
    <s v="Bengaluru"/>
    <x v="0"/>
    <s v="Paper"/>
    <s v="Basic Paper 613"/>
    <x v="0"/>
    <n v="5"/>
    <n v="1806.51"/>
    <n v="0.25"/>
    <n v="6774.41"/>
    <n v="4710.3599999999997"/>
    <n v="2064.0500000000002"/>
    <x v="3"/>
    <s v="Returned"/>
  </r>
  <r>
    <x v="28"/>
    <x v="24"/>
    <d v="2024-10-18T00:00:00"/>
    <n v="-23"/>
    <s v="CUST-1569"/>
    <s v="Ananya Rao"/>
    <s v="Home Office"/>
    <x v="3"/>
    <x v="12"/>
    <s v="Ahmedabad"/>
    <x v="2"/>
    <s v="Phones"/>
    <s v="Prime Phones 698"/>
    <x v="0"/>
    <n v="2"/>
    <n v="1942.22"/>
    <n v="0.25"/>
    <n v="2913.33"/>
    <n v="2122.33"/>
    <n v="791"/>
    <x v="1"/>
    <s v="Cancelled"/>
  </r>
  <r>
    <x v="29"/>
    <x v="27"/>
    <d v="2025-08-13T00:00:00"/>
    <n v="0"/>
    <s v="CUST-5936"/>
    <s v="Rohan Mehta"/>
    <s v="Home Office"/>
    <x v="2"/>
    <x v="13"/>
    <s v="Kochi"/>
    <x v="2"/>
    <s v="Phones"/>
    <s v="Pro Phones 442"/>
    <x v="3"/>
    <n v="1"/>
    <n v="256.01"/>
    <n v="0.15"/>
    <n v="217.61"/>
    <n v="119.77"/>
    <n v="97.84"/>
    <x v="0"/>
    <s v="Completed"/>
  </r>
  <r>
    <x v="30"/>
    <x v="28"/>
    <d v="2024-02-12T00:00:00"/>
    <n v="-203"/>
    <s v="CUST-8759"/>
    <s v="Ananya Rao"/>
    <s v="Corporate"/>
    <x v="3"/>
    <x v="14"/>
    <s v="Panaji"/>
    <x v="0"/>
    <s v="Labels"/>
    <s v="Pro Labels 355"/>
    <x v="2"/>
    <n v="1"/>
    <n v="3421.77"/>
    <n v="0.1"/>
    <n v="3079.59"/>
    <n v="2001.89"/>
    <n v="1077.7"/>
    <x v="0"/>
    <s v="Completed"/>
  </r>
  <r>
    <x v="31"/>
    <x v="29"/>
    <d v="2025-06-19T00:00:00"/>
    <n v="4"/>
    <s v="CUST-7867"/>
    <s v="Karan Malhotra"/>
    <s v="Small Business"/>
    <x v="3"/>
    <x v="4"/>
    <s v="Indore"/>
    <x v="0"/>
    <s v="Paper"/>
    <s v="Pro Paper 959"/>
    <x v="0"/>
    <n v="9"/>
    <n v="3092.55"/>
    <n v="0"/>
    <n v="27832.95"/>
    <n v="17769.75"/>
    <n v="10063.200000000001"/>
    <x v="3"/>
    <s v="Returned"/>
  </r>
  <r>
    <x v="32"/>
    <x v="30"/>
    <d v="2024-11-26T00:00:00"/>
    <n v="4"/>
    <s v="CUST-6509"/>
    <s v="Aarav Sharma"/>
    <s v="Corporate"/>
    <x v="2"/>
    <x v="5"/>
    <s v="Vijayawada"/>
    <x v="2"/>
    <s v="Phones"/>
    <s v="Basic Phones 242"/>
    <x v="0"/>
    <n v="3"/>
    <n v="4001.25"/>
    <m/>
    <n v="9002.81"/>
    <n v="7529.92"/>
    <n v="1472.89"/>
    <x v="0"/>
    <s v="Completed"/>
  </r>
  <r>
    <x v="33"/>
    <x v="11"/>
    <d v="2024-07-27T00:00:00"/>
    <n v="5"/>
    <s v="CUST-6660"/>
    <s v="Priya Menon"/>
    <s v="Home Office"/>
    <x v="3"/>
    <x v="14"/>
    <s v="Panaji"/>
    <x v="1"/>
    <s v="Tables"/>
    <s v="Max Tables 836"/>
    <x v="1"/>
    <n v="7"/>
    <n v="492.41"/>
    <n v="0.25"/>
    <n v="2585.15"/>
    <n v="2070.73"/>
    <n v="514.41999999999996"/>
    <x v="0"/>
    <s v="Completed"/>
  </r>
  <r>
    <x v="34"/>
    <x v="31"/>
    <d v="2025-05-02T00:00:00"/>
    <n v="91"/>
    <s v="CUST-2392"/>
    <s v="Priya Menon"/>
    <s v="Home Office"/>
    <x v="1"/>
    <x v="6"/>
    <s v="Kolkata"/>
    <x v="1"/>
    <s v="Chairs"/>
    <s v="Elite Chairs 862"/>
    <x v="4"/>
    <n v="2"/>
    <n v="4159.6899999999996"/>
    <n v="0.2"/>
    <n v="6655.5"/>
    <n v="4340.21"/>
    <n v="2607.3200000000002"/>
    <x v="0"/>
    <s v="Completed"/>
  </r>
  <r>
    <x v="35"/>
    <x v="32"/>
    <d v="2024-05-29T00:00:00"/>
    <n v="0"/>
    <s v="CUST-1611"/>
    <s v="Sneha Kapoor"/>
    <s v="Small Business"/>
    <x v="3"/>
    <x v="12"/>
    <s v="Ahmedabad"/>
    <x v="1"/>
    <s v="Bookcases"/>
    <s v="Prime Bookcases 414"/>
    <x v="0"/>
    <n v="8"/>
    <n v="2507.12"/>
    <n v="0.05"/>
    <n v="19054.11"/>
    <n v="15313.83"/>
    <n v="3740.28"/>
    <x v="2"/>
    <s v="Returned"/>
  </r>
  <r>
    <x v="36"/>
    <x v="33"/>
    <d v="2024-10-28T00:00:00"/>
    <n v="3"/>
    <s v="CUST-8296"/>
    <s v="Rohan Mehta"/>
    <s v="Corporate"/>
    <x v="3"/>
    <x v="3"/>
    <s v="Mumbai"/>
    <x v="1"/>
    <s v="Bookcases"/>
    <s v="Eco Bookcases 220"/>
    <x v="0"/>
    <n v="3"/>
    <n v="3126.47"/>
    <n v="0"/>
    <n v="9379.41"/>
    <n v="6670.85"/>
    <n v="2708.56"/>
    <x v="0"/>
    <s v="Returned"/>
  </r>
  <r>
    <x v="37"/>
    <x v="34"/>
    <d v="2025-07-29T00:00:00"/>
    <n v="0"/>
    <s v="CUST-4646"/>
    <s v="Diya Patel"/>
    <s v="Consumer"/>
    <x v="3"/>
    <x v="3"/>
    <s v="Mumbai"/>
    <x v="2"/>
    <s v="Copiers"/>
    <s v="Pro Copiers 830"/>
    <x v="3"/>
    <n v="4"/>
    <n v="1327.54"/>
    <n v="0.2"/>
    <n v="4248.13"/>
    <n v="3321.09"/>
    <n v="927.04"/>
    <x v="0"/>
    <s v="Completed"/>
  </r>
  <r>
    <x v="38"/>
    <x v="35"/>
    <d v="2024-06-22T00:00:00"/>
    <n v="5"/>
    <s v="CUST-8235"/>
    <s v="Aarav Sharma"/>
    <s v="Corporate"/>
    <x v="3"/>
    <x v="12"/>
    <s v="Ahmedabad"/>
    <x v="2"/>
    <s v="Phones"/>
    <s v="Prime Phones 507"/>
    <x v="2"/>
    <n v="7"/>
    <n v="2210.6799999999998"/>
    <n v="0.1"/>
    <n v="13927.28"/>
    <n v="10504.87"/>
    <n v="3422.41"/>
    <x v="0"/>
    <s v="Completed"/>
  </r>
  <r>
    <x v="39"/>
    <x v="36"/>
    <d v="2024-11-12T00:00:00"/>
    <n v="-29"/>
    <s v="CUST-5830"/>
    <s v="Mira Das"/>
    <s v="Small Business"/>
    <x v="3"/>
    <x v="4"/>
    <s v="Indore"/>
    <x v="2"/>
    <s v="Copiers"/>
    <s v="Classic Copiers 590"/>
    <x v="2"/>
    <n v="4"/>
    <n v="1370.92"/>
    <n v="0.1"/>
    <n v="4935.3100000000004"/>
    <n v="3374.77"/>
    <n v="1560.54"/>
    <x v="2"/>
    <s v="Returned"/>
  </r>
  <r>
    <x v="40"/>
    <x v="37"/>
    <d v="2024-10-16T00:00:00"/>
    <n v="6"/>
    <s v="CUST-7178"/>
    <s v="Isha Nair"/>
    <s v="Home Office"/>
    <x v="3"/>
    <x v="0"/>
    <s v="Udaipur"/>
    <x v="2"/>
    <s v="Copiers"/>
    <s v="Eco Copiers 865"/>
    <x v="3"/>
    <n v="7"/>
    <n v="2509.27"/>
    <n v="0.2"/>
    <n v="14051.91"/>
    <n v="11990.37"/>
    <n v="2061.54"/>
    <x v="0"/>
    <s v="Completed"/>
  </r>
  <r>
    <x v="41"/>
    <x v="38"/>
    <d v="2024-03-17T00:00:00"/>
    <n v="5"/>
    <s v="CUST-3829"/>
    <s v="Aarav Sharma"/>
    <s v="Small Business"/>
    <x v="1"/>
    <x v="1"/>
    <s v="Bhubaneswar"/>
    <x v="1"/>
    <s v="Bookcases"/>
    <s v="Classic Bookcases 835"/>
    <x v="1"/>
    <n v="8"/>
    <n v="855.81"/>
    <n v="0"/>
    <n v="6846.48"/>
    <n v="4239.8900000000003"/>
    <n v="2606.59"/>
    <x v="2"/>
    <s v="Cancelled"/>
  </r>
  <r>
    <x v="42"/>
    <x v="39"/>
    <d v="2025-10-15T00:00:00"/>
    <n v="5"/>
    <s v="CUST-6708"/>
    <s v="Arjun Bose"/>
    <s v="Corporate"/>
    <x v="1"/>
    <x v="15"/>
    <s v="Ranchi"/>
    <x v="2"/>
    <s v="Phones"/>
    <s v="Eco Phones 702"/>
    <x v="3"/>
    <n v="8"/>
    <n v="979.87"/>
    <n v="0.05"/>
    <n v="7447.01"/>
    <n v="4496.22"/>
    <n v="2950.79"/>
    <x v="0"/>
    <s v="Completed"/>
  </r>
  <r>
    <x v="43"/>
    <x v="40"/>
    <d v="2024-07-14T00:00:00"/>
    <n v="6"/>
    <s v="CUST-7119"/>
    <s v="Priya Menon"/>
    <s v="Small Business"/>
    <x v="1"/>
    <x v="1"/>
    <s v="Bhubaneswar"/>
    <x v="1"/>
    <s v="Furnishings"/>
    <s v="Smart Furnishings 956"/>
    <x v="1"/>
    <n v="3"/>
    <n v="1010.23"/>
    <n v="0"/>
    <n v="3030.69"/>
    <n v="1721.08"/>
    <n v="1309.6099999999999"/>
    <x v="0"/>
    <s v="Completed"/>
  </r>
  <r>
    <x v="44"/>
    <x v="41"/>
    <d v="2024-06-25T00:00:00"/>
    <n v="3"/>
    <s v="CUST-3373"/>
    <s v="Rohan Mehta"/>
    <s v="Small Business"/>
    <x v="0"/>
    <x v="16"/>
    <s v="Gurugram"/>
    <x v="1"/>
    <s v="Chairs"/>
    <s v="Max Chairs 393"/>
    <x v="3"/>
    <n v="9"/>
    <n v="3329.77"/>
    <n v="0.1"/>
    <n v="26971.14"/>
    <n v="17376.2"/>
    <n v="9594.94"/>
    <x v="0"/>
    <s v="Completed"/>
  </r>
  <r>
    <x v="45"/>
    <x v="42"/>
    <d v="2024-01-24T00:00:00"/>
    <n v="6"/>
    <s v="CUST-8896"/>
    <s v="Isha Nair"/>
    <s v="Home Office"/>
    <x v="1"/>
    <x v="9"/>
    <s v="Patna"/>
    <x v="0"/>
    <s v="Art"/>
    <s v="Prime Art 221"/>
    <x v="0"/>
    <n v="8"/>
    <n v="3927.82"/>
    <n v="0.05"/>
    <n v="29851.43"/>
    <n v="17487.48"/>
    <n v="12363.95"/>
    <x v="2"/>
    <s v="Returned"/>
  </r>
  <r>
    <x v="46"/>
    <x v="43"/>
    <d v="2024-07-19T00:00:00"/>
    <n v="0"/>
    <s v="CUST-8517"/>
    <s v="Ananya Rao"/>
    <s v="Small Business"/>
    <x v="2"/>
    <x v="13"/>
    <s v="Kochi"/>
    <x v="1"/>
    <s v="Bookcases"/>
    <s v="Elite Bookcases 671"/>
    <x v="3"/>
    <n v="9"/>
    <n v="2386.79"/>
    <n v="0.25"/>
    <n v="16110.83"/>
    <n v="10680.03"/>
    <n v="5430.8"/>
    <x v="1"/>
    <s v="Returned"/>
  </r>
  <r>
    <x v="47"/>
    <x v="44"/>
    <d v="2024-12-08T00:00:00"/>
    <n v="0"/>
    <s v="CUST-1987"/>
    <s v="Rahul Verma"/>
    <s v="Corporate"/>
    <x v="2"/>
    <x v="17"/>
    <s v="Chennai"/>
    <x v="0"/>
    <s v="Storage"/>
    <s v="Max Storage 432"/>
    <x v="3"/>
    <n v="8"/>
    <n v="2445.31"/>
    <n v="0.1"/>
    <n v="17606.23"/>
    <n v="12438.96"/>
    <n v="5167.2700000000004"/>
    <x v="0"/>
    <s v="Completed"/>
  </r>
  <r>
    <x v="48"/>
    <x v="45"/>
    <d v="2025-05-02T00:00:00"/>
    <n v="92"/>
    <s v="CUST-8183"/>
    <s v="Neha Gupta"/>
    <s v="Corporate"/>
    <x v="3"/>
    <x v="3"/>
    <s v="Mumbai"/>
    <x v="1"/>
    <s v="Chairs"/>
    <s v="Basic Chairs 837"/>
    <x v="0"/>
    <n v="7"/>
    <n v="4063.66"/>
    <n v="0"/>
    <n v="28445.62"/>
    <n v="20938.59"/>
    <n v="7507.03"/>
    <x v="0"/>
    <s v="Completed"/>
  </r>
  <r>
    <x v="49"/>
    <x v="46"/>
    <d v="2024-04-13T00:00:00"/>
    <n v="-52"/>
    <s v="CUST-2380"/>
    <s v="Aarav Sharma"/>
    <s v="Home Office"/>
    <x v="0"/>
    <x v="8"/>
    <s v="Noida"/>
    <x v="2"/>
    <s v="Copiers"/>
    <s v="Classic Copiers 295"/>
    <x v="0"/>
    <n v="9"/>
    <n v="792.11"/>
    <n v="0.05"/>
    <n v="6772.54"/>
    <n v="5755.46"/>
    <n v="1017.08"/>
    <x v="0"/>
    <s v="Completed"/>
  </r>
  <r>
    <x v="50"/>
    <x v="47"/>
    <d v="2025-05-19T00:00:00"/>
    <n v="8"/>
    <s v="CUST-8787"/>
    <s v="Sneha Kapoor"/>
    <s v="Consumer"/>
    <x v="1"/>
    <x v="6"/>
    <s v="Kolkata"/>
    <x v="2"/>
    <s v="Copiers"/>
    <s v="Pro Copiers 963"/>
    <x v="3"/>
    <n v="1"/>
    <n v="2382.8000000000002"/>
    <n v="0.15"/>
    <n v="2025.38"/>
    <n v="1140.6500000000001"/>
    <n v="884.73"/>
    <x v="0"/>
    <s v="Completed"/>
  </r>
  <r>
    <x v="51"/>
    <x v="48"/>
    <d v="2024-04-29T00:00:00"/>
    <n v="5"/>
    <s v="CUST-3557"/>
    <s v="Ananya Rao"/>
    <s v="Corporate"/>
    <x v="2"/>
    <x v="2"/>
    <s v="Hyderabad"/>
    <x v="0"/>
    <s v="Art"/>
    <s v="Pro Art 907"/>
    <x v="3"/>
    <n v="6"/>
    <n v="1528.08"/>
    <n v="0"/>
    <n v="9168.48"/>
    <n v="7439.77"/>
    <n v="1728.71"/>
    <x v="0"/>
    <s v="Completed"/>
  </r>
  <r>
    <x v="52"/>
    <x v="49"/>
    <d v="2024-10-28T00:00:00"/>
    <n v="2"/>
    <s v="CUST-2778"/>
    <s v="Kabir Singh"/>
    <s v="Small Business"/>
    <x v="0"/>
    <x v="0"/>
    <s v="Jaipur"/>
    <x v="1"/>
    <s v="Chairs"/>
    <s v="Pro Chairs 526"/>
    <x v="2"/>
    <n v="9"/>
    <n v="1399.63"/>
    <n v="0"/>
    <n v="12596.67"/>
    <n v="10603.29"/>
    <n v="1993.38"/>
    <x v="3"/>
    <s v="Cancelled"/>
  </r>
  <r>
    <x v="53"/>
    <x v="50"/>
    <d v="2025-03-31T00:00:00"/>
    <n v="0"/>
    <s v="CUST-7195"/>
    <s v="Kabir Singh"/>
    <s v="Home Office"/>
    <x v="3"/>
    <x v="12"/>
    <s v="Ahmedabad"/>
    <x v="0"/>
    <s v="Storage"/>
    <s v="Elite Storage 924"/>
    <x v="2"/>
    <n v="5"/>
    <n v="1207.47"/>
    <n v="0.15"/>
    <n v="5131.75"/>
    <n v="2838.68"/>
    <n v="2293.0700000000002"/>
    <x v="0"/>
    <s v="Completed"/>
  </r>
  <r>
    <x v="54"/>
    <x v="51"/>
    <d v="2025-02-06T00:00:00"/>
    <n v="-113"/>
    <s v="CUST-9039"/>
    <s v="Arjun Bose"/>
    <s v="Corporate"/>
    <x v="2"/>
    <x v="17"/>
    <s v="Chennai"/>
    <x v="0"/>
    <s v="Labels"/>
    <s v="Pro Labels 957"/>
    <x v="1"/>
    <n v="8"/>
    <n v="474.37"/>
    <n v="0.1"/>
    <n v="3415.46"/>
    <n v="1993.23"/>
    <n v="1422.23"/>
    <x v="3"/>
    <s v="Cancelled"/>
  </r>
  <r>
    <x v="55"/>
    <x v="52"/>
    <d v="2025-03-07T00:00:00"/>
    <n v="59"/>
    <s v="CUST-9821"/>
    <s v="Mira Das"/>
    <s v="Small Business"/>
    <x v="2"/>
    <x v="5"/>
    <s v="Vijayawada"/>
    <x v="2"/>
    <s v="Machines"/>
    <s v="Classic Machines 310"/>
    <x v="1"/>
    <n v="3"/>
    <n v="1516.24"/>
    <n v="0.25"/>
    <n v="3411.54"/>
    <n v="2803.13"/>
    <n v="608.41"/>
    <x v="0"/>
    <s v="Completed"/>
  </r>
  <r>
    <x v="56"/>
    <x v="53"/>
    <d v="2025-06-01T00:00:00"/>
    <n v="31"/>
    <s v="CUST-8701"/>
    <s v="Karan Malhotra"/>
    <s v="Consumer"/>
    <x v="2"/>
    <x v="11"/>
    <s v="Bengaluru"/>
    <x v="0"/>
    <s v="Binders"/>
    <s v="Smart Binders 393"/>
    <x v="0"/>
    <n v="3"/>
    <n v="3155.61"/>
    <n v="0"/>
    <n v="9466.83"/>
    <n v="6557.83"/>
    <n v="2909"/>
    <x v="1"/>
    <s v="Cancelled"/>
  </r>
  <r>
    <x v="57"/>
    <x v="54"/>
    <d v="2024-02-15T00:00:00"/>
    <n v="-138"/>
    <s v="CUST-9941"/>
    <s v="Priya Menon"/>
    <s v="Consumer"/>
    <x v="3"/>
    <x v="14"/>
    <s v="Panaji"/>
    <x v="1"/>
    <s v="Chairs"/>
    <s v="Max Chairs 813"/>
    <x v="1"/>
    <n v="5"/>
    <n v="255.87"/>
    <n v="0"/>
    <n v="1279.3499999999999"/>
    <n v="1091.54"/>
    <n v="187.81"/>
    <x v="0"/>
    <s v="Completed"/>
  </r>
  <r>
    <x v="58"/>
    <x v="55"/>
    <d v="2024-07-09T00:00:00"/>
    <n v="182"/>
    <s v="CUST-3983"/>
    <s v="Isha Nair"/>
    <s v="Home Office"/>
    <x v="0"/>
    <x v="0"/>
    <s v="Jaipur"/>
    <x v="0"/>
    <s v="Storage"/>
    <s v="Basic Storage 872"/>
    <x v="4"/>
    <n v="9"/>
    <n v="1389.48"/>
    <n v="0.1"/>
    <n v="11254.79"/>
    <n v="6578.06"/>
    <n v="4676.7299999999996"/>
    <x v="2"/>
    <s v="Returned"/>
  </r>
  <r>
    <x v="59"/>
    <x v="56"/>
    <d v="2024-07-25T00:00:00"/>
    <n v="5"/>
    <s v="CUST-2418"/>
    <s v="Priya Menon"/>
    <s v="Corporate"/>
    <x v="1"/>
    <x v="10"/>
    <s v="Guwahati"/>
    <x v="0"/>
    <s v="Labels"/>
    <s v="Smart Labels 655"/>
    <x v="1"/>
    <n v="5"/>
    <n v="4133.8500000000004"/>
    <n v="0.2"/>
    <n v="16535.400000000001"/>
    <n v="12990.21"/>
    <n v="3545.19"/>
    <x v="0"/>
    <s v="Cancelled"/>
  </r>
  <r>
    <x v="60"/>
    <x v="57"/>
    <d v="2024-07-19T00:00:00"/>
    <n v="6"/>
    <s v="CUST-2892"/>
    <s v="Ananya Rao"/>
    <s v="Corporate"/>
    <x v="1"/>
    <x v="10"/>
    <s v="Guwahati"/>
    <x v="0"/>
    <s v="Labels"/>
    <s v="Eco Labels 210"/>
    <x v="1"/>
    <n v="3"/>
    <n v="275.76"/>
    <n v="0.2"/>
    <n v="661.82"/>
    <n v="481.47"/>
    <n v="180.35"/>
    <x v="1"/>
    <s v="Cancelled"/>
  </r>
  <r>
    <x v="61"/>
    <x v="58"/>
    <d v="2024-04-16T00:00:00"/>
    <n v="0"/>
    <s v="CUST-7008"/>
    <s v="Vikram Iyer"/>
    <s v="Home Office"/>
    <x v="1"/>
    <x v="9"/>
    <s v="Patna"/>
    <x v="1"/>
    <s v="Bookcases"/>
    <s v="Classic Bookcases 296"/>
    <x v="3"/>
    <n v="1"/>
    <n v="949.59"/>
    <n v="0"/>
    <n v="949.59"/>
    <n v="751.25"/>
    <n v="198.34"/>
    <x v="0"/>
    <s v="Completed"/>
  </r>
  <r>
    <x v="62"/>
    <x v="59"/>
    <d v="2024-02-11T00:00:00"/>
    <n v="-262"/>
    <s v="CUST-4900"/>
    <s v="Sneha Kapoor"/>
    <s v="Home Office"/>
    <x v="0"/>
    <x v="0"/>
    <s v="Jaipur"/>
    <x v="2"/>
    <s v="Phones"/>
    <s v="Basic Phones 230"/>
    <x v="3"/>
    <n v="9"/>
    <n v="3042.29"/>
    <n v="0.2"/>
    <n v="21904.49"/>
    <n v="13570.55"/>
    <n v="8333.94"/>
    <x v="0"/>
    <s v="Completed"/>
  </r>
  <r>
    <x v="63"/>
    <x v="60"/>
    <d v="2024-01-02T00:00:00"/>
    <n v="-23"/>
    <s v="CUST-5382"/>
    <s v="Sneha Kapoor"/>
    <s v="Home Office"/>
    <x v="0"/>
    <x v="16"/>
    <s v="Gurugram"/>
    <x v="0"/>
    <s v="Binders"/>
    <s v="Pro Binders 690"/>
    <x v="1"/>
    <n v="2"/>
    <n v="2832.77"/>
    <n v="0.15"/>
    <n v="4815.71"/>
    <n v="3027.75"/>
    <n v="1917.47"/>
    <x v="0"/>
    <s v="Completed"/>
  </r>
  <r>
    <x v="64"/>
    <x v="61"/>
    <d v="2024-12-29T00:00:00"/>
    <n v="6"/>
    <s v="CUST-2749"/>
    <s v="Aarav Sharma"/>
    <s v="Corporate"/>
    <x v="1"/>
    <x v="15"/>
    <s v="Ranchi"/>
    <x v="0"/>
    <s v="Paper"/>
    <s v="Classic Paper 458"/>
    <x v="2"/>
    <n v="7"/>
    <n v="447.84"/>
    <n v="0"/>
    <n v="3134.88"/>
    <n v="2367.63"/>
    <n v="767.25"/>
    <x v="1"/>
    <s v="Returned"/>
  </r>
  <r>
    <x v="65"/>
    <x v="62"/>
    <d v="2024-04-27T00:00:00"/>
    <n v="5"/>
    <s v="CUST-2463"/>
    <s v="Mira Das"/>
    <s v="Home Office"/>
    <x v="3"/>
    <x v="3"/>
    <s v="Mumbai"/>
    <x v="0"/>
    <s v="Paper"/>
    <s v="Pro Paper 552"/>
    <x v="0"/>
    <n v="1"/>
    <n v="4280.1899999999996"/>
    <n v="0.05"/>
    <n v="4066.18"/>
    <n v="2628.92"/>
    <n v="1437.26"/>
    <x v="0"/>
    <s v="Completed"/>
  </r>
  <r>
    <x v="66"/>
    <x v="63"/>
    <d v="2025-01-09T00:00:00"/>
    <n v="-231"/>
    <s v="CUST-1504"/>
    <s v="Karan Malhotra"/>
    <s v="Small Business"/>
    <x v="2"/>
    <x v="17"/>
    <s v="Chennai"/>
    <x v="2"/>
    <s v="Accessories"/>
    <s v="Elite Accessories 187"/>
    <x v="1"/>
    <n v="7"/>
    <n v="1057.46"/>
    <n v="0.05"/>
    <n v="7032.11"/>
    <n v="4610.34"/>
    <n v="2421.77"/>
    <x v="0"/>
    <s v="Completed"/>
  </r>
  <r>
    <x v="67"/>
    <x v="64"/>
    <d v="2025-07-02T00:00:00"/>
    <n v="122"/>
    <s v="CUST-8282"/>
    <s v="Kabir Singh"/>
    <s v="Consumer"/>
    <x v="0"/>
    <x v="16"/>
    <s v="Gurugram"/>
    <x v="0"/>
    <s v="Paper"/>
    <s v="Eco Paper 922"/>
    <x v="2"/>
    <n v="7"/>
    <n v="3609.34"/>
    <n v="0.05"/>
    <n v="24002.11"/>
    <n v="18707.57"/>
    <n v="5294.54"/>
    <x v="0"/>
    <s v="Completed"/>
  </r>
  <r>
    <x v="68"/>
    <x v="24"/>
    <d v="2024-11-13T00:00:00"/>
    <n v="3"/>
    <s v="CUST-6054"/>
    <s v="Isha Nair"/>
    <s v="Corporate"/>
    <x v="1"/>
    <x v="15"/>
    <s v="Ranchi"/>
    <x v="0"/>
    <s v="Storage"/>
    <s v="Pro Storage 975"/>
    <x v="0"/>
    <n v="9"/>
    <n v="2211.12"/>
    <n v="0"/>
    <n v="19900.080000000002"/>
    <n v="10962.66"/>
    <n v="8937.42"/>
    <x v="3"/>
    <s v="Returned"/>
  </r>
  <r>
    <x v="69"/>
    <x v="65"/>
    <d v="2024-04-14T00:00:00"/>
    <n v="-143"/>
    <s v="CUST-5979"/>
    <s v="Neha Gupta"/>
    <s v="Small Business"/>
    <x v="3"/>
    <x v="12"/>
    <s v="Ahmedabad"/>
    <x v="2"/>
    <s v="Machines"/>
    <s v="Prime Machines 782"/>
    <x v="1"/>
    <n v="7"/>
    <n v="3417.09"/>
    <n v="0.1"/>
    <n v="21527.67"/>
    <n v="18287.580000000002"/>
    <n v="3240.09"/>
    <x v="1"/>
    <s v="Returned"/>
  </r>
  <r>
    <x v="70"/>
    <x v="66"/>
    <d v="2025-08-27T00:00:00"/>
    <n v="5"/>
    <s v="CUST-5582"/>
    <s v="Karan Malhotra"/>
    <s v="Corporate"/>
    <x v="2"/>
    <x v="5"/>
    <s v="Vijayawada"/>
    <x v="2"/>
    <s v="Phones"/>
    <s v="Max Phones 661"/>
    <x v="2"/>
    <n v="2"/>
    <n v="905.87"/>
    <n v="0.15"/>
    <n v="1539.98"/>
    <n v="1070.2"/>
    <n v="469.78"/>
    <x v="0"/>
    <s v="Completed"/>
  </r>
  <r>
    <x v="71"/>
    <x v="67"/>
    <d v="2025-04-23T00:00:00"/>
    <n v="7"/>
    <s v="CUST-3308"/>
    <s v="Mira Das"/>
    <s v="Small Business"/>
    <x v="3"/>
    <x v="14"/>
    <s v="Panaji"/>
    <x v="2"/>
    <s v="Machines"/>
    <s v="Elite Machines 836"/>
    <x v="3"/>
    <n v="6"/>
    <n v="2027.32"/>
    <n v="0.1"/>
    <n v="10947.53"/>
    <n v="6447.36"/>
    <n v="4500.17"/>
    <x v="0"/>
    <s v="Completed"/>
  </r>
  <r>
    <x v="72"/>
    <x v="68"/>
    <d v="2024-07-02T00:00:00"/>
    <n v="-123"/>
    <s v="CUST-5018"/>
    <s v="Karan Malhotra"/>
    <s v="Home Office"/>
    <x v="2"/>
    <x v="17"/>
    <s v="Chennai"/>
    <x v="1"/>
    <s v="Tables"/>
    <s v="Prime Tables 902"/>
    <x v="2"/>
    <n v="7"/>
    <n v="2287.4699999999998"/>
    <n v="0.15"/>
    <n v="13610.45"/>
    <n v="10039.049999999999"/>
    <n v="3571.4"/>
    <x v="0"/>
    <s v="Completed"/>
  </r>
  <r>
    <x v="73"/>
    <x v="69"/>
    <d v="2025-04-03T00:00:00"/>
    <n v="5"/>
    <s v="CUST-2342"/>
    <s v="Sneha Kapoor"/>
    <s v="Corporate"/>
    <x v="1"/>
    <x v="6"/>
    <s v="Kolkata"/>
    <x v="1"/>
    <s v="Bookcases"/>
    <s v="Smart Bookcases 167"/>
    <x v="2"/>
    <n v="5"/>
    <n v="1425.74"/>
    <n v="0"/>
    <n v="7128.7"/>
    <n v="4382.1499999999996"/>
    <n v="2746.55"/>
    <x v="0"/>
    <s v="Completed"/>
  </r>
  <r>
    <x v="74"/>
    <x v="70"/>
    <d v="2025-01-03T00:00:00"/>
    <n v="-55"/>
    <s v="CUST-6201"/>
    <s v="Vikram Iyer"/>
    <s v="Small Business"/>
    <x v="1"/>
    <x v="6"/>
    <s v="Kolkata"/>
    <x v="1"/>
    <s v="Chairs"/>
    <s v="Max Chairs 244"/>
    <x v="3"/>
    <n v="6"/>
    <n v="551.64"/>
    <n v="0"/>
    <n v="3309.84"/>
    <n v="2671.08"/>
    <n v="638.76"/>
    <x v="0"/>
    <s v="Completed"/>
  </r>
  <r>
    <x v="75"/>
    <x v="66"/>
    <d v="2025-08-27T00:00:00"/>
    <n v="5"/>
    <s v="CUST-5808"/>
    <s v="Priya Menon"/>
    <s v="Small Business"/>
    <x v="1"/>
    <x v="1"/>
    <s v="Bhubaneswar"/>
    <x v="0"/>
    <s v="Labels"/>
    <s v="Eco Labels 653"/>
    <x v="2"/>
    <n v="3"/>
    <n v="3294.82"/>
    <n v="0.2"/>
    <n v="7907.57"/>
    <n v="5391.18"/>
    <n v="2516.39"/>
    <x v="0"/>
    <s v="Completed"/>
  </r>
  <r>
    <x v="76"/>
    <x v="71"/>
    <d v="2024-11-11T00:00:00"/>
    <n v="245"/>
    <s v="CUST-2642"/>
    <s v="Ananya Rao"/>
    <s v="Corporate"/>
    <x v="1"/>
    <x v="15"/>
    <s v="Ranchi"/>
    <x v="0"/>
    <s v="Labels"/>
    <s v="Max Labels 617"/>
    <x v="0"/>
    <n v="3"/>
    <n v="3406.27"/>
    <n v="0"/>
    <n v="10218.81"/>
    <n v="7616.97"/>
    <n v="2601.84"/>
    <x v="0"/>
    <s v="Completed"/>
  </r>
  <r>
    <x v="77"/>
    <x v="72"/>
    <d v="2025-12-07T00:00:00"/>
    <n v="152"/>
    <s v="CUST-4385"/>
    <s v="Rohan Mehta"/>
    <s v="Home Office"/>
    <x v="0"/>
    <x v="8"/>
    <s v="Noida"/>
    <x v="1"/>
    <s v="Furnishings"/>
    <s v="Pro Furnishings 529"/>
    <x v="3"/>
    <n v="1"/>
    <n v="2582.1999999999998"/>
    <n v="0.15"/>
    <n v="2194.87"/>
    <n v="1223.17"/>
    <n v="971.7"/>
    <x v="1"/>
    <s v="Cancelled"/>
  </r>
  <r>
    <x v="78"/>
    <x v="73"/>
    <d v="2025-07-21T00:00:00"/>
    <n v="5"/>
    <s v="CUST-8043"/>
    <s v="Sneha Kapoor"/>
    <s v="Corporate"/>
    <x v="1"/>
    <x v="6"/>
    <s v="Kolkata"/>
    <x v="1"/>
    <s v="Tables"/>
    <s v="Smart Tables 561"/>
    <x v="2"/>
    <n v="5"/>
    <n v="2129.5100000000002"/>
    <n v="0.15"/>
    <n v="9050.42"/>
    <n v="6778.85"/>
    <n v="2271.5700000000002"/>
    <x v="0"/>
    <s v="Completed"/>
  </r>
  <r>
    <x v="79"/>
    <x v="74"/>
    <d v="2025-03-10T00:00:00"/>
    <n v="-201"/>
    <s v="CUST-9978"/>
    <s v="Diya Patel"/>
    <s v="Home Office"/>
    <x v="2"/>
    <x v="17"/>
    <s v="Chennai"/>
    <x v="1"/>
    <s v="Chairs"/>
    <s v="Prime Chairs 838"/>
    <x v="1"/>
    <n v="9"/>
    <n v="4131.5200000000004"/>
    <n v="0.1"/>
    <n v="33465.31"/>
    <n v="24781.26"/>
    <n v="8684.0499999999993"/>
    <x v="0"/>
    <s v="Completed"/>
  </r>
  <r>
    <x v="80"/>
    <x v="75"/>
    <d v="2024-08-14T00:00:00"/>
    <n v="-55"/>
    <s v="CUST-2094"/>
    <s v="Aarav Sharma"/>
    <s v="Small Business"/>
    <x v="0"/>
    <x v="18"/>
    <s v="New Delhi"/>
    <x v="0"/>
    <s v="Storage"/>
    <s v="Elite Storage 371"/>
    <x v="0"/>
    <n v="4"/>
    <n v="1182.32"/>
    <n v="0.1"/>
    <n v="4256.3500000000004"/>
    <n v="2495.33"/>
    <n v="1761.02"/>
    <x v="2"/>
    <s v="Returned"/>
  </r>
  <r>
    <x v="81"/>
    <x v="76"/>
    <d v="2025-03-17T00:00:00"/>
    <n v="1"/>
    <s v="CUST-7907"/>
    <s v="Karan Malhotra"/>
    <s v="Home Office"/>
    <x v="3"/>
    <x v="14"/>
    <s v="Panaji"/>
    <x v="0"/>
    <s v="Labels"/>
    <s v="Eco Labels 662"/>
    <x v="1"/>
    <n v="3"/>
    <n v="1841.91"/>
    <n v="0"/>
    <n v="5525.73"/>
    <n v="3093.42"/>
    <n v="2432.31"/>
    <x v="0"/>
    <s v="Completed"/>
  </r>
  <r>
    <x v="82"/>
    <x v="77"/>
    <d v="2024-04-08T00:00:00"/>
    <n v="31"/>
    <s v="CUST-6516"/>
    <s v="Arjun Bose"/>
    <s v="Consumer"/>
    <x v="0"/>
    <x v="8"/>
    <s v="Noida"/>
    <x v="2"/>
    <s v="Copiers"/>
    <s v="Smart Copiers 702"/>
    <x v="0"/>
    <n v="6"/>
    <n v="1001.73"/>
    <n v="0"/>
    <n v="6010.38"/>
    <n v="3762.85"/>
    <n v="2247.5300000000002"/>
    <x v="3"/>
    <s v="Returned"/>
  </r>
  <r>
    <x v="83"/>
    <x v="49"/>
    <d v="2024-10-29T00:00:00"/>
    <n v="3"/>
    <s v="CUST-4989"/>
    <s v="Aditi Sen"/>
    <s v="Home Office"/>
    <x v="3"/>
    <x v="3"/>
    <s v="Mumbai"/>
    <x v="1"/>
    <s v="Tables"/>
    <s v="Elite Tables 362"/>
    <x v="0"/>
    <n v="9"/>
    <n v="131.74"/>
    <n v="0.2"/>
    <n v="948.53"/>
    <n v="674.62"/>
    <n v="273.91000000000003"/>
    <x v="0"/>
    <s v="Completed"/>
  </r>
  <r>
    <x v="84"/>
    <x v="78"/>
    <d v="2024-03-10T00:00:00"/>
    <n v="60"/>
    <s v="CUST-3758"/>
    <s v="Rohan Mehta"/>
    <s v="Corporate"/>
    <x v="2"/>
    <x v="17"/>
    <s v="Chennai"/>
    <x v="2"/>
    <s v="Phones"/>
    <s v="Elite Phones 781"/>
    <x v="0"/>
    <n v="6"/>
    <n v="570.28"/>
    <n v="0.2"/>
    <n v="2737.34"/>
    <n v="2085.44"/>
    <n v="651.9"/>
    <x v="0"/>
    <s v="Completed"/>
  </r>
  <r>
    <x v="85"/>
    <x v="79"/>
    <d v="2024-08-05T00:00:00"/>
    <n v="6"/>
    <s v="CUST-6702"/>
    <s v="Kabir Singh"/>
    <s v="Corporate"/>
    <x v="0"/>
    <x v="18"/>
    <s v="New Delhi"/>
    <x v="0"/>
    <s v="Binders"/>
    <s v="Eco Binders 456"/>
    <x v="3"/>
    <n v="1"/>
    <n v="608.64"/>
    <n v="0"/>
    <n v="608.64"/>
    <n v="343.99"/>
    <n v="264.64999999999998"/>
    <x v="0"/>
    <s v="Cancelled"/>
  </r>
  <r>
    <x v="86"/>
    <x v="17"/>
    <d v="2024-01-07T00:00:00"/>
    <n v="0"/>
    <s v="CUST-9148"/>
    <s v="Ananya Rao"/>
    <s v="Small Business"/>
    <x v="0"/>
    <x v="18"/>
    <s v="New Delhi"/>
    <x v="2"/>
    <s v="Copiers"/>
    <s v="Basic Copiers 525"/>
    <x v="0"/>
    <n v="3"/>
    <n v="885.28"/>
    <n v="0.1"/>
    <n v="2390.2600000000002"/>
    <n v="1495.94"/>
    <n v="894.32"/>
    <x v="1"/>
    <s v="Cancelled"/>
  </r>
  <r>
    <x v="87"/>
    <x v="80"/>
    <d v="2024-03-08T00:00:00"/>
    <n v="29"/>
    <s v="CUST-5829"/>
    <s v="Vikram Iyer"/>
    <s v="Consumer"/>
    <x v="1"/>
    <x v="10"/>
    <s v="Guwahati"/>
    <x v="0"/>
    <s v="Binders"/>
    <s v="Eco Binders 258"/>
    <x v="3"/>
    <n v="7"/>
    <n v="3345.22"/>
    <n v="0"/>
    <n v="23416.54"/>
    <n v="15490.89"/>
    <n v="7925.65"/>
    <x v="0"/>
    <s v="Completed"/>
  </r>
  <r>
    <x v="88"/>
    <x v="81"/>
    <d v="2024-03-27T00:00:00"/>
    <n v="3"/>
    <s v="CUST-6059"/>
    <s v="Rohan Mehta"/>
    <s v="Small Business"/>
    <x v="3"/>
    <x v="3"/>
    <s v="Mumbai"/>
    <x v="1"/>
    <s v="Bookcases"/>
    <s v="Max Bookcases 398"/>
    <x v="3"/>
    <n v="2"/>
    <n v="3284.75"/>
    <n v="0.05"/>
    <n v="6241.02"/>
    <n v="5345.88"/>
    <n v="895.14"/>
    <x v="0"/>
    <s v="Completed"/>
  </r>
  <r>
    <x v="89"/>
    <x v="82"/>
    <d v="2024-05-09T00:00:00"/>
    <n v="0"/>
    <s v="CUST-7744"/>
    <s v="Kabir Singh"/>
    <s v="Consumer"/>
    <x v="2"/>
    <x v="5"/>
    <s v="Vijayawada"/>
    <x v="1"/>
    <s v="Bookcases"/>
    <s v="Smart Bookcases 857"/>
    <x v="3"/>
    <n v="7"/>
    <n v="3761.09"/>
    <n v="0.2"/>
    <n v="21062.1"/>
    <n v="12057.13"/>
    <n v="9004.9699999999993"/>
    <x v="2"/>
    <s v="Cancelled"/>
  </r>
  <r>
    <x v="90"/>
    <x v="83"/>
    <d v="2025-08-29T00:00:00"/>
    <n v="5"/>
    <s v="CUST-5909"/>
    <s v="Aarav Sharma"/>
    <s v="Small Business"/>
    <x v="1"/>
    <x v="9"/>
    <s v="Patna"/>
    <x v="2"/>
    <s v="Copiers"/>
    <s v="Smart Copiers 556"/>
    <x v="2"/>
    <n v="3"/>
    <n v="3703.96"/>
    <n v="0.15"/>
    <n v="9445.1"/>
    <n v="5586.28"/>
    <n v="3858.82"/>
    <x v="0"/>
    <s v="Completed"/>
  </r>
  <r>
    <x v="91"/>
    <x v="84"/>
    <d v="2025-03-08T00:00:00"/>
    <n v="33"/>
    <s v="CUST-6409"/>
    <s v="Sneha Kapoor"/>
    <s v="Corporate"/>
    <x v="3"/>
    <x v="4"/>
    <s v="Indore"/>
    <x v="2"/>
    <s v="Copiers"/>
    <s v="Prime Copiers 575"/>
    <x v="0"/>
    <n v="9"/>
    <n v="269.68"/>
    <n v="0"/>
    <n v="2427.12"/>
    <n v="1538.35"/>
    <n v="804.53"/>
    <x v="0"/>
    <s v="Completed"/>
  </r>
  <r>
    <x v="92"/>
    <x v="85"/>
    <d v="2025-01-26T00:00:00"/>
    <n v="3"/>
    <s v="CUST-3014"/>
    <s v="Aarav Sharma"/>
    <s v="Consumer"/>
    <x v="3"/>
    <x v="4"/>
    <s v="Indore"/>
    <x v="0"/>
    <s v="Paper"/>
    <s v="Elite Paper 669"/>
    <x v="3"/>
    <n v="9"/>
    <n v="4458.26"/>
    <n v="0.1"/>
    <n v="36111.910000000003"/>
    <n v="29194.5"/>
    <n v="6917.41"/>
    <x v="0"/>
    <s v="Completed"/>
  </r>
  <r>
    <x v="93"/>
    <x v="17"/>
    <d v="2024-01-13T00:00:00"/>
    <n v="6"/>
    <s v="CUST-6106"/>
    <s v="Rohan Mehta"/>
    <s v="Corporate"/>
    <x v="0"/>
    <x v="8"/>
    <s v="Noida"/>
    <x v="0"/>
    <s v="Binders"/>
    <s v="Eco Binders 780"/>
    <x v="3"/>
    <n v="7"/>
    <n v="2788.97"/>
    <n v="-0.09"/>
    <n v="19522.79"/>
    <n v="12455.78"/>
    <n v="7067.01"/>
    <x v="0"/>
    <s v="Completed"/>
  </r>
  <r>
    <x v="94"/>
    <x v="86"/>
    <d v="2024-09-09T00:00:00"/>
    <n v="3"/>
    <s v="CUST-1926"/>
    <s v="Diya Patel"/>
    <s v="Consumer"/>
    <x v="0"/>
    <x v="16"/>
    <s v="Gurugram"/>
    <x v="2"/>
    <s v="Phones"/>
    <s v="Elite Phones 723"/>
    <x v="0"/>
    <n v="7"/>
    <n v="3781.53"/>
    <n v="0"/>
    <n v="26470.71"/>
    <n v="21367.599999999999"/>
    <n v="5103.1099999999997"/>
    <x v="2"/>
    <s v="Cancelled"/>
  </r>
  <r>
    <x v="95"/>
    <x v="87"/>
    <d v="2025-09-10T00:00:00"/>
    <n v="124"/>
    <s v="CUST-2687"/>
    <s v="Sneha Kapoor"/>
    <s v="Corporate"/>
    <x v="3"/>
    <x v="14"/>
    <s v="Panaji"/>
    <x v="1"/>
    <s v="Bookcases"/>
    <s v="Classic Bookcases 988"/>
    <x v="1"/>
    <n v="6"/>
    <n v="1754.13"/>
    <n v="0"/>
    <n v="10524.78"/>
    <n v="8841.0499999999993"/>
    <n v="1683.73"/>
    <x v="0"/>
    <s v="Completed"/>
  </r>
  <r>
    <x v="96"/>
    <x v="88"/>
    <d v="2024-07-06T00:00:00"/>
    <n v="61"/>
    <s v="CUST-7283"/>
    <s v="Rahul Verma"/>
    <s v="Home Office"/>
    <x v="1"/>
    <x v="1"/>
    <s v="Bhubaneswar"/>
    <x v="2"/>
    <s v="Copiers"/>
    <s v="Smart Copiers 547"/>
    <x v="0"/>
    <n v="2"/>
    <n v="2259.2399999999998"/>
    <n v="0.15"/>
    <n v="3840.71"/>
    <n v="2516.29"/>
    <n v="1324.42"/>
    <x v="0"/>
    <s v="Completed"/>
  </r>
  <r>
    <x v="97"/>
    <x v="89"/>
    <d v="2025-11-08T00:00:00"/>
    <n v="92"/>
    <s v="CUST-8111"/>
    <s v="Diya Patel"/>
    <s v="Small Business"/>
    <x v="3"/>
    <x v="12"/>
    <s v="Ahmedabad"/>
    <x v="0"/>
    <s v="Storage"/>
    <s v="Basic Storage 656"/>
    <x v="1"/>
    <n v="5"/>
    <n v="3602.36"/>
    <n v="0.2"/>
    <n v="14409.44"/>
    <n v="8809.9699999999993"/>
    <n v="5599.47"/>
    <x v="2"/>
    <s v="Returned"/>
  </r>
  <r>
    <x v="98"/>
    <x v="90"/>
    <d v="2024-02-01T00:00:00"/>
    <n v="6"/>
    <s v="CUST-5434"/>
    <s v="Rohan Mehta"/>
    <s v="Home Office"/>
    <x v="2"/>
    <x v="13"/>
    <s v="Kochi"/>
    <x v="2"/>
    <s v="Copiers"/>
    <s v="Elite Copiers 785"/>
    <x v="4"/>
    <n v="8"/>
    <n v="2108.9299999999998"/>
    <n v="0.1"/>
    <n v="15184.3"/>
    <n v="11270.74"/>
    <n v="3913.56"/>
    <x v="0"/>
    <s v="Completed"/>
  </r>
  <r>
    <x v="99"/>
    <x v="91"/>
    <d v="2025-11-01T00:00:00"/>
    <n v="0"/>
    <s v="CUST-3865"/>
    <s v="Aditi Sen"/>
    <s v="Small Business"/>
    <x v="3"/>
    <x v="0"/>
    <s v="Udaipur"/>
    <x v="2"/>
    <s v="Accessories"/>
    <s v="Smart Accessories 542"/>
    <x v="1"/>
    <n v="3"/>
    <n v="2165.29"/>
    <n v="0"/>
    <n v="6495.87"/>
    <n v="4700.8900000000003"/>
    <n v="1794.98"/>
    <x v="0"/>
    <s v="Completed"/>
  </r>
  <r>
    <x v="100"/>
    <x v="92"/>
    <d v="2025-09-18T00:00:00"/>
    <n v="-82"/>
    <s v="CUST-6015"/>
    <s v="Aarav Sharma"/>
    <s v="Home Office"/>
    <x v="2"/>
    <x v="13"/>
    <s v="Kochi"/>
    <x v="0"/>
    <s v="Storage"/>
    <s v="Eco Storage 936"/>
    <x v="3"/>
    <n v="6"/>
    <n v="1673.8"/>
    <n v="0.05"/>
    <n v="9540.66"/>
    <n v="5561.49"/>
    <n v="3979.17"/>
    <x v="0"/>
    <s v="Completed"/>
  </r>
  <r>
    <x v="101"/>
    <x v="41"/>
    <d v="2024-06-26T00:00:00"/>
    <n v="4"/>
    <s v="CUST-7909"/>
    <s v="Rohan Mehta"/>
    <s v="Home Office"/>
    <x v="1"/>
    <x v="9"/>
    <s v="Patna"/>
    <x v="1"/>
    <s v="Furnishings"/>
    <s v="Classic Furnishings 682"/>
    <x v="2"/>
    <n v="5"/>
    <n v="4396.5200000000004"/>
    <n v="0.25"/>
    <n v="16486.95"/>
    <n v="12054.14"/>
    <n v="4432.8100000000004"/>
    <x v="0"/>
    <s v="Completed"/>
  </r>
  <r>
    <x v="102"/>
    <x v="93"/>
    <d v="2025-07-16T00:00:00"/>
    <n v="-144"/>
    <s v="CUST-9603"/>
    <s v="Vikram Iyer"/>
    <s v="Consumer"/>
    <x v="2"/>
    <x v="11"/>
    <s v="Bengaluru"/>
    <x v="1"/>
    <s v="Chairs"/>
    <s v="Classic Chairs 604"/>
    <x v="2"/>
    <n v="4"/>
    <n v="2865.71"/>
    <n v="0"/>
    <n v="11462.84"/>
    <n v="8979.7800000000007"/>
    <n v="2483.06"/>
    <x v="1"/>
    <s v="Cancelled"/>
  </r>
  <r>
    <x v="103"/>
    <x v="94"/>
    <d v="2025-05-10T00:00:00"/>
    <n v="8"/>
    <s v="CUST-6263"/>
    <s v="Kabir Singh"/>
    <s v="Corporate"/>
    <x v="3"/>
    <x v="3"/>
    <s v="Mumbai"/>
    <x v="1"/>
    <s v="Tables"/>
    <s v="Prime Tables 377"/>
    <x v="2"/>
    <n v="4"/>
    <n v="2440.34"/>
    <n v="0.2"/>
    <n v="7809.09"/>
    <n v="6657.75"/>
    <n v="1151.3399999999999"/>
    <x v="0"/>
    <s v="Completed"/>
  </r>
  <r>
    <x v="104"/>
    <x v="95"/>
    <d v="2025-02-08T00:00:00"/>
    <n v="37"/>
    <s v="CUST-1576"/>
    <s v="Ananya Rao"/>
    <s v="Consumer"/>
    <x v="2"/>
    <x v="11"/>
    <s v="Bengaluru"/>
    <x v="0"/>
    <s v="Labels"/>
    <s v="Prime Labels 807"/>
    <x v="1"/>
    <n v="5"/>
    <n v="2112.54"/>
    <n v="0.25"/>
    <n v="8260.4599999999991"/>
    <n v="5619.95"/>
    <n v="2302.08"/>
    <x v="0"/>
    <s v="Cancelled"/>
  </r>
  <r>
    <x v="105"/>
    <x v="96"/>
    <d v="2024-06-29T00:00:00"/>
    <n v="5"/>
    <s v="CUST-6540"/>
    <s v="Mira Das"/>
    <s v="Home Office"/>
    <x v="1"/>
    <x v="6"/>
    <s v="Kolkata"/>
    <x v="1"/>
    <s v="Tables"/>
    <s v="Eco Tables 575"/>
    <x v="0"/>
    <n v="2"/>
    <n v="685"/>
    <n v="0.1"/>
    <n v="1233"/>
    <n v="1006.9"/>
    <n v="226.1"/>
    <x v="0"/>
    <s v="Completed"/>
  </r>
  <r>
    <x v="106"/>
    <x v="97"/>
    <d v="2024-02-28T00:00:00"/>
    <n v="8"/>
    <s v="CUST-4008"/>
    <s v="Arjun Bose"/>
    <s v="Home Office"/>
    <x v="1"/>
    <x v="6"/>
    <s v="Kolkata"/>
    <x v="0"/>
    <s v="Paper"/>
    <s v="Eco Paper 918"/>
    <x v="3"/>
    <n v="2"/>
    <n v="4004.04"/>
    <m/>
    <n v="7207.27"/>
    <n v="5709.39"/>
    <n v="1497.88"/>
    <x v="0"/>
    <s v="Cancelled"/>
  </r>
  <r>
    <x v="107"/>
    <x v="98"/>
    <d v="2024-04-11T00:00:00"/>
    <n v="-201"/>
    <s v="CUST-6604"/>
    <s v="Rohan Mehta"/>
    <s v="Home Office"/>
    <x v="1"/>
    <x v="6"/>
    <s v="Kolkata"/>
    <x v="1"/>
    <s v="Furnishings"/>
    <s v="Prime Furnishings 952"/>
    <x v="2"/>
    <n v="3"/>
    <n v="4302.8900000000003"/>
    <n v="0.05"/>
    <n v="12263.24"/>
    <n v="8925.57"/>
    <n v="3337.67"/>
    <x v="0"/>
    <s v="Completed"/>
  </r>
  <r>
    <x v="108"/>
    <x v="99"/>
    <d v="2024-08-23T00:00:00"/>
    <n v="8"/>
    <s v="CUST-4337"/>
    <s v="Aditi Sen"/>
    <s v="Small Business"/>
    <x v="1"/>
    <x v="1"/>
    <s v="Bhubaneswar"/>
    <x v="1"/>
    <s v="Bookcases"/>
    <s v="Prime Bookcases 631"/>
    <x v="1"/>
    <n v="2"/>
    <n v="537.54"/>
    <n v="0.25"/>
    <n v="806.31"/>
    <n v="498.5"/>
    <n v="307.81"/>
    <x v="0"/>
    <s v="Completed"/>
  </r>
  <r>
    <x v="109"/>
    <x v="100"/>
    <d v="2025-08-27T00:00:00"/>
    <n v="4"/>
    <s v="CUST-3740"/>
    <s v="Sneha Kapoor"/>
    <s v="Consumer"/>
    <x v="0"/>
    <x v="18"/>
    <s v="New Delhi"/>
    <x v="0"/>
    <s v="Binders"/>
    <s v="Classic Binders 660"/>
    <x v="0"/>
    <n v="1"/>
    <n v="2788.62"/>
    <n v="0.25"/>
    <n v="2091.4699999999998"/>
    <n v="1317.22"/>
    <n v="774.25"/>
    <x v="0"/>
    <s v="Completed"/>
  </r>
  <r>
    <x v="110"/>
    <x v="101"/>
    <d v="2024-10-24T00:00:00"/>
    <n v="6"/>
    <s v="CUST-7128"/>
    <s v="Vikram Iyer"/>
    <s v="Corporate"/>
    <x v="2"/>
    <x v="13"/>
    <s v="Kochi"/>
    <x v="0"/>
    <s v="Labels"/>
    <s v="Pro Labels 255"/>
    <x v="2"/>
    <n v="2"/>
    <n v="2250.4699999999998"/>
    <n v="0"/>
    <n v="4500.9399999999996"/>
    <n v="2607.73"/>
    <n v="1893.21"/>
    <x v="1"/>
    <s v="Cancelled"/>
  </r>
  <r>
    <x v="111"/>
    <x v="102"/>
    <d v="2025-06-30T00:00:00"/>
    <n v="3"/>
    <s v="CUST-4743"/>
    <s v="Neha Gupta"/>
    <s v="Corporate"/>
    <x v="1"/>
    <x v="9"/>
    <s v="Patna"/>
    <x v="2"/>
    <s v="Accessories"/>
    <s v="Basic Accessories 187"/>
    <x v="2"/>
    <n v="1"/>
    <n v="1708.44"/>
    <n v="0.05"/>
    <n v="1623.02"/>
    <n v="1077.46"/>
    <n v="545.55999999999995"/>
    <x v="2"/>
    <s v="Cancelled"/>
  </r>
  <r>
    <x v="112"/>
    <x v="103"/>
    <d v="2024-01-14T00:00:00"/>
    <n v="-261"/>
    <s v="CUST-5213"/>
    <s v="Sneha Kapoor"/>
    <s v="Consumer"/>
    <x v="4"/>
    <x v="12"/>
    <s v="Ahmedabad"/>
    <x v="2"/>
    <s v="Accessories"/>
    <s v="Max Accessories 451"/>
    <x v="3"/>
    <n v="3"/>
    <n v="3829.48"/>
    <n v="0.05"/>
    <n v="10914.02"/>
    <n v="6548.74"/>
    <n v="4365.28"/>
    <x v="0"/>
    <s v="Completed"/>
  </r>
  <r>
    <x v="113"/>
    <x v="104"/>
    <d v="2024-12-02T00:00:00"/>
    <n v="0"/>
    <s v="CUST-4989"/>
    <s v="Isha Nair"/>
    <s v="Home Office"/>
    <x v="2"/>
    <x v="17"/>
    <s v="Chennai"/>
    <x v="1"/>
    <s v="Tables"/>
    <s v="Classic Tables 752"/>
    <x v="3"/>
    <n v="3"/>
    <n v="1089.1500000000001"/>
    <n v="0.25"/>
    <n v="2450.59"/>
    <n v="1639.89"/>
    <n v="810.7"/>
    <x v="0"/>
    <s v="Completed"/>
  </r>
  <r>
    <x v="114"/>
    <x v="105"/>
    <d v="2024-09-30T00:00:00"/>
    <n v="5"/>
    <s v="CUST-2927"/>
    <s v="Neha Gupta"/>
    <s v="Small Business"/>
    <x v="0"/>
    <x v="0"/>
    <s v="Jaipur"/>
    <x v="2"/>
    <s v="Accessories"/>
    <s v="Eco Accessories 452"/>
    <x v="0"/>
    <n v="1"/>
    <n v="4388.3999999999996"/>
    <n v="0.1"/>
    <n v="3949.56"/>
    <n v="3186.73"/>
    <n v="762.83"/>
    <x v="2"/>
    <s v="Cancelled"/>
  </r>
  <r>
    <x v="115"/>
    <x v="14"/>
    <d v="2025-01-01T00:00:00"/>
    <n v="5"/>
    <s v="CUST-7764"/>
    <s v="Kabir Singh"/>
    <s v="Corporate"/>
    <x v="2"/>
    <x v="17"/>
    <s v="Chennai"/>
    <x v="0"/>
    <s v="Binders"/>
    <s v="Classic Binders 203"/>
    <x v="1"/>
    <n v="2"/>
    <n v="446.34"/>
    <n v="0.15"/>
    <n v="758.78"/>
    <n v="490.74"/>
    <n v="268.04000000000002"/>
    <x v="0"/>
    <s v="Cancelled"/>
  </r>
  <r>
    <x v="116"/>
    <x v="106"/>
    <d v="2025-02-19T00:00:00"/>
    <n v="4"/>
    <s v="CUST-3632"/>
    <s v="Ananya Rao"/>
    <s v="Small Business"/>
    <x v="4"/>
    <x v="4"/>
    <s v="Indore"/>
    <x v="0"/>
    <s v="Binders"/>
    <s v="Basic Binders 859"/>
    <x v="2"/>
    <n v="9"/>
    <n v="531.99"/>
    <n v="0.25"/>
    <n v="3590.93"/>
    <n v="3061.39"/>
    <n v="529.54"/>
    <x v="3"/>
    <s v="Cancelled"/>
  </r>
  <r>
    <x v="117"/>
    <x v="107"/>
    <d v="2024-02-17T00:00:00"/>
    <n v="2"/>
    <s v="CUST-9608"/>
    <s v="Mira Das"/>
    <s v="Home Office"/>
    <x v="2"/>
    <x v="17"/>
    <s v="Chennai"/>
    <x v="2"/>
    <s v="Machines"/>
    <s v="Elite Machines 705"/>
    <x v="3"/>
    <n v="9"/>
    <n v="3324.55"/>
    <s v="70%"/>
    <n v="25432.81"/>
    <n v="20370.16"/>
    <n v="5062.6499999999996"/>
    <x v="0"/>
    <s v="Completed"/>
  </r>
  <r>
    <x v="118"/>
    <x v="108"/>
    <d v="2024-06-18T00:00:00"/>
    <n v="8"/>
    <s v="CUST-9135"/>
    <s v="Vikram  Iyer"/>
    <s v="Home Office"/>
    <x v="2"/>
    <x v="5"/>
    <s v="Vijayawada"/>
    <x v="2"/>
    <s v="Copiers"/>
    <s v="Pro Copiers 208"/>
    <x v="1"/>
    <n v="5"/>
    <n v="1580.27"/>
    <n v="0.2"/>
    <n v="6321.08"/>
    <n v="4407.22"/>
    <n v="1913.86"/>
    <x v="0"/>
    <s v="Completed"/>
  </r>
  <r>
    <x v="119"/>
    <x v="109"/>
    <d v="2024-06-19T00:00:00"/>
    <n v="-170"/>
    <s v="CUST-7861"/>
    <s v="Aditi Sen"/>
    <s v="Small Business"/>
    <x v="2"/>
    <x v="13"/>
    <s v="Kochi"/>
    <x v="1"/>
    <s v="Chairs"/>
    <s v="Elite Chairs 921"/>
    <x v="3"/>
    <n v="8"/>
    <n v="314.05"/>
    <n v="0.25"/>
    <n v="1884.3"/>
    <n v="1517.69"/>
    <n v="366.61"/>
    <x v="1"/>
    <s v="Returned"/>
  </r>
  <r>
    <x v="120"/>
    <x v="75"/>
    <d v="2024-08-18T00:00:00"/>
    <n v="-51"/>
    <s v="CUST-6096"/>
    <s v="Sneha Kapoor"/>
    <s v="Small Business"/>
    <x v="1"/>
    <x v="9"/>
    <s v="Patna"/>
    <x v="2"/>
    <s v="Phones"/>
    <s v="Prime Phones 540"/>
    <x v="3"/>
    <n v="1"/>
    <n v="1823.67"/>
    <n v="0.2"/>
    <n v="1458.94"/>
    <n v="893.2"/>
    <n v="565.74"/>
    <x v="0"/>
    <s v="Returned"/>
  </r>
  <r>
    <x v="121"/>
    <x v="66"/>
    <d v="2025-08-26T00:00:00"/>
    <n v="4"/>
    <s v="CUST-2044"/>
    <s v="Kabir Singh"/>
    <s v="Small  Business"/>
    <x v="2"/>
    <x v="5"/>
    <s v="Vijayawada"/>
    <x v="2"/>
    <s v="Machines"/>
    <s v="Max Machines 948"/>
    <x v="0"/>
    <n v="5"/>
    <n v="3482.92"/>
    <n v="0"/>
    <n v="17414.599999999999"/>
    <n v="11760.91"/>
    <n v="5653.69"/>
    <x v="1"/>
    <s v="Cancelled"/>
  </r>
  <r>
    <x v="122"/>
    <x v="110"/>
    <d v="2024-04-12T00:00:00"/>
    <n v="-232"/>
    <s v="CUST-1721"/>
    <s v="Ananya Rao"/>
    <s v="Small Business"/>
    <x v="1"/>
    <x v="10"/>
    <s v="Guwahati"/>
    <x v="1"/>
    <s v="Chairs"/>
    <s v="Max Chairs 786"/>
    <x v="0"/>
    <n v="3"/>
    <n v="170.35"/>
    <n v="0"/>
    <n v="511.05"/>
    <n v="367.18"/>
    <n v="143.87"/>
    <x v="0"/>
    <s v="Completed"/>
  </r>
  <r>
    <x v="123"/>
    <x v="5"/>
    <d v="2024-05-25T00:00:00"/>
    <n v="1"/>
    <s v="CUST-1007"/>
    <s v="Sneha Kapoor"/>
    <s v="Small Business"/>
    <x v="0"/>
    <x v="7"/>
    <s v="Ludhiana"/>
    <x v="2"/>
    <s v="Copiers"/>
    <s v="Max Copiers 970"/>
    <x v="1"/>
    <n v="1"/>
    <n v="634.13"/>
    <n v="0"/>
    <n v="634.13"/>
    <n v="453.35"/>
    <n v="180.78"/>
    <x v="1"/>
    <s v="Cancelled"/>
  </r>
  <r>
    <x v="124"/>
    <x v="0"/>
    <d v="2024-07-24T00:00:00"/>
    <n v="3"/>
    <s v="CUST-4450"/>
    <s v="Isha Nair"/>
    <s v="Corporate"/>
    <x v="2"/>
    <x v="11"/>
    <s v="Bengaluru"/>
    <x v="2"/>
    <s v="Copiers"/>
    <s v="Pro Copiers 769"/>
    <x v="3"/>
    <n v="9"/>
    <n v="465.06"/>
    <n v="-0.15"/>
    <n v="4185.54"/>
    <n v="3443.74"/>
    <n v="741.8"/>
    <x v="0"/>
    <s v="Completed"/>
  </r>
  <r>
    <x v="125"/>
    <x v="111"/>
    <d v="2025-07-18T00:00:00"/>
    <n v="1"/>
    <s v="CUST-7924"/>
    <s v="Neha Gupta"/>
    <s v="Small Business"/>
    <x v="3"/>
    <x v="0"/>
    <s v="Udaipur"/>
    <x v="1"/>
    <s v="Tables"/>
    <s v="Basic Tables 753"/>
    <x v="1"/>
    <n v="6"/>
    <n v="3235.27"/>
    <n v="0.25"/>
    <n v="14558.72"/>
    <n v="9591.48"/>
    <n v="4967.24"/>
    <x v="1"/>
    <s v="Returned"/>
  </r>
  <r>
    <x v="126"/>
    <x v="112"/>
    <d v="2025-09-26T00:00:00"/>
    <n v="2"/>
    <s v="CUST-1715"/>
    <s v="Priya Menon"/>
    <s v="Corporate"/>
    <x v="0"/>
    <x v="18"/>
    <s v="New Delhi"/>
    <x v="2"/>
    <s v="Copiers"/>
    <s v="Prime Copiers 651"/>
    <x v="3"/>
    <n v="3"/>
    <n v="1593.86"/>
    <n v="0.1"/>
    <n v="4303.42"/>
    <n v="2568.5700000000002"/>
    <n v="1734.85"/>
    <x v="0"/>
    <s v="Completed"/>
  </r>
  <r>
    <x v="127"/>
    <x v="45"/>
    <d v="2025-01-26T00:00:00"/>
    <n v="-4"/>
    <s v="CUST-6802"/>
    <s v="Priya Menon"/>
    <s v="Corporate"/>
    <x v="3"/>
    <x v="4"/>
    <s v="Indore"/>
    <x v="0"/>
    <s v="Storage"/>
    <s v="Basic Storage 321"/>
    <x v="0"/>
    <n v="2"/>
    <n v="3039.3"/>
    <n v="0.05"/>
    <n v="5774.67"/>
    <n v="3518.36"/>
    <n v="2256.31"/>
    <x v="0"/>
    <s v="Completed"/>
  </r>
  <r>
    <x v="128"/>
    <x v="113"/>
    <d v="2024-12-16T00:00:00"/>
    <n v="3"/>
    <s v="CUST-9328"/>
    <s v="Neha Gupta"/>
    <s v="Small Business"/>
    <x v="1"/>
    <x v="1"/>
    <s v="Bhubaneswar"/>
    <x v="1"/>
    <s v="Furnishings"/>
    <s v="Prime Furnishings 710"/>
    <x v="3"/>
    <n v="5"/>
    <n v="923.45"/>
    <n v="0.05"/>
    <n v="4386.3900000000003"/>
    <n v="3366.88"/>
    <n v="1019.51"/>
    <x v="0"/>
    <s v="Returned"/>
  </r>
  <r>
    <x v="129"/>
    <x v="43"/>
    <d v="2024-07-25T00:00:00"/>
    <n v="6"/>
    <s v="CUST-2588"/>
    <s v="Isha Nair"/>
    <s v="Small Business"/>
    <x v="3"/>
    <x v="14"/>
    <s v="Panaji"/>
    <x v="0"/>
    <s v="Binders"/>
    <s v="Elite Binders 723"/>
    <x v="3"/>
    <n v="7"/>
    <n v="2741.29"/>
    <n v="0.05"/>
    <n v="18229.580000000002"/>
    <n v="15139.15"/>
    <n v="3090.43"/>
    <x v="0"/>
    <s v="Completed"/>
  </r>
  <r>
    <x v="130"/>
    <x v="114"/>
    <d v="2024-02-02T00:00:00"/>
    <n v="6"/>
    <s v="CUST-5435"/>
    <s v="Arjun Bose"/>
    <s v="Consumer"/>
    <x v="3"/>
    <x v="12"/>
    <s v="Ahmedabad"/>
    <x v="0"/>
    <s v="Labels"/>
    <s v="Smart Labels 878"/>
    <x v="1"/>
    <n v="5"/>
    <n v="218.42"/>
    <n v="0.2"/>
    <n v="873.68"/>
    <n v="661.72"/>
    <n v="211.96"/>
    <x v="2"/>
    <s v="Cancelled"/>
  </r>
  <r>
    <x v="131"/>
    <x v="26"/>
    <d v="2025-04-10T00:00:00"/>
    <n v="-172"/>
    <s v="CUST-7637"/>
    <s v="Ananya Rao"/>
    <s v="Home Office"/>
    <x v="1"/>
    <x v="15"/>
    <s v="Ranchi"/>
    <x v="0"/>
    <s v="Paper"/>
    <s v="Pro Paper 934"/>
    <x v="1"/>
    <n v="9"/>
    <n v="373.91"/>
    <n v="0.2"/>
    <n v="2692.15"/>
    <n v="2044.49"/>
    <n v="647.66"/>
    <x v="0"/>
    <s v="Completed"/>
  </r>
  <r>
    <x v="132"/>
    <x v="115"/>
    <d v="2024-04-11T00:00:00"/>
    <n v="0"/>
    <s v="CUST-3602"/>
    <s v="Kabir Singh"/>
    <s v="Corporate"/>
    <x v="1"/>
    <x v="10"/>
    <s v="Guwahati"/>
    <x v="2"/>
    <s v="Machines"/>
    <s v="Classic Machines 886"/>
    <x v="2"/>
    <n v="2"/>
    <n v="533.08000000000004"/>
    <n v="0"/>
    <n v="1066.1600000000001"/>
    <n v="656.3"/>
    <n v="409.86"/>
    <x v="3"/>
    <s v="Cancelled"/>
  </r>
  <r>
    <x v="133"/>
    <x v="113"/>
    <d v="2024-12-18T00:00:00"/>
    <n v="5"/>
    <s v="CUST-9441"/>
    <s v="Karan Malhotra"/>
    <s v="Consumer"/>
    <x v="3"/>
    <x v="14"/>
    <s v="Panaji"/>
    <x v="2"/>
    <s v="Phones"/>
    <s v="Prime Phones 419"/>
    <x v="0"/>
    <n v="8"/>
    <n v="3372.15"/>
    <n v="0.15"/>
    <n v="22930.62"/>
    <n v="16875.55"/>
    <n v="6055.07"/>
    <x v="0"/>
    <s v="Completed"/>
  </r>
  <r>
    <x v="134"/>
    <x v="116"/>
    <d v="2025-07-14T00:00:00"/>
    <n v="0"/>
    <s v="CUST-7361"/>
    <s v="Vikram Iyer"/>
    <s v="Home Office"/>
    <x v="1"/>
    <x v="6"/>
    <s v="Kolkata"/>
    <x v="1"/>
    <s v="Bookcases"/>
    <s v="Elite Bookcases 266"/>
    <x v="4"/>
    <n v="5"/>
    <n v="383.1"/>
    <n v="0.25"/>
    <n v="1436.62"/>
    <n v="912.52"/>
    <n v="524.1"/>
    <x v="2"/>
    <s v="Cancelled"/>
  </r>
  <r>
    <x v="135"/>
    <x v="83"/>
    <d v="2025-08-24T00:00:00"/>
    <n v="0"/>
    <s v="CUST-1148"/>
    <s v="Diya Patel"/>
    <s v="Small Business"/>
    <x v="2"/>
    <x v="13"/>
    <s v="Kochi"/>
    <x v="1"/>
    <s v="Bookcases"/>
    <s v="Prime Bookcases 954"/>
    <x v="3"/>
    <n v="1"/>
    <n v="3424.78"/>
    <n v="0"/>
    <n v="3424.78"/>
    <n v="1951.45"/>
    <n v="1473.33"/>
    <x v="0"/>
    <s v="Completed"/>
  </r>
  <r>
    <x v="136"/>
    <x v="117"/>
    <d v="2025-02-15T00:00:00"/>
    <n v="-199"/>
    <s v="CUST-3350"/>
    <s v="Mira Das"/>
    <s v="Home Office"/>
    <x v="1"/>
    <x v="15"/>
    <s v="Ranchi"/>
    <x v="0"/>
    <s v="Binders"/>
    <s v="Max Binders 362"/>
    <x v="5"/>
    <n v="9"/>
    <n v="4330.33"/>
    <n v="0.2"/>
    <n v="31178.38"/>
    <n v="21421.09"/>
    <n v="9757.2900000000009"/>
    <x v="0"/>
    <s v="Completed"/>
  </r>
  <r>
    <x v="137"/>
    <x v="118"/>
    <d v="2025-09-01T00:00:00"/>
    <n v="235"/>
    <s v="CUST-7932"/>
    <s v="Sneha Kapoor"/>
    <s v="Small Business"/>
    <x v="0"/>
    <x v="0"/>
    <s v="Jaipur"/>
    <x v="1"/>
    <s v="Chairs"/>
    <s v="Prime Chairs 261"/>
    <x v="1"/>
    <n v="8"/>
    <n v="2667.07"/>
    <n v="0.1"/>
    <n v="19202.900000000001"/>
    <n v="15526.62"/>
    <n v="3676.28"/>
    <x v="0"/>
    <s v="Completed"/>
  </r>
  <r>
    <x v="138"/>
    <x v="119"/>
    <d v="2024-01-26T00:00:00"/>
    <n v="6"/>
    <s v="CUST-7173"/>
    <s v="Diya Patel"/>
    <s v="Home Office"/>
    <x v="1"/>
    <x v="15"/>
    <s v="Ranchi"/>
    <x v="2"/>
    <s v="Machines"/>
    <s v="Basic Machines 185"/>
    <x v="3"/>
    <n v="8"/>
    <n v="4003.05"/>
    <n v="0.25"/>
    <n v="24018.3"/>
    <n v="14070.78"/>
    <n v="9947.52"/>
    <x v="0"/>
    <s v="Completed"/>
  </r>
  <r>
    <x v="139"/>
    <x v="64"/>
    <d v="2025-07-03T00:00:00"/>
    <n v="123"/>
    <s v="CUST-4225"/>
    <s v="Neha Gupta"/>
    <s v="Home Office"/>
    <x v="2"/>
    <x v="11"/>
    <s v="Bengaluru"/>
    <x v="0"/>
    <s v="Labels"/>
    <s v="Basic Labels 509"/>
    <x v="3"/>
    <n v="8"/>
    <n v="1287.6300000000001"/>
    <n v="0"/>
    <n v="10301.040000000001"/>
    <n v="6564.06"/>
    <n v="3736.98"/>
    <x v="0"/>
    <s v="Completed"/>
  </r>
  <r>
    <x v="140"/>
    <x v="120"/>
    <d v="2024-01-06T00:00:00"/>
    <n v="-146"/>
    <s v="CUST-2149"/>
    <s v="Mira Das"/>
    <s v="Corporate"/>
    <x v="2"/>
    <x v="11"/>
    <s v="Bengaluru"/>
    <x v="1"/>
    <s v="Bookcases"/>
    <s v="Elite Bookcases 696"/>
    <x v="1"/>
    <n v="3"/>
    <n v="2914.55"/>
    <n v="0"/>
    <n v="8743.65"/>
    <n v="6603.76"/>
    <n v="2139.89"/>
    <x v="0"/>
    <s v="Completed"/>
  </r>
  <r>
    <x v="141"/>
    <x v="121"/>
    <d v="2024-03-29T00:00:00"/>
    <n v="6"/>
    <s v="CUST-3314"/>
    <s v="Priya Menon"/>
    <s v="Corporate"/>
    <x v="0"/>
    <x v="18"/>
    <s v="New Delhi"/>
    <x v="1"/>
    <s v="Bookcases"/>
    <s v="Elite Bookcases 772"/>
    <x v="1"/>
    <n v="7"/>
    <n v="634.29"/>
    <n v="0.1"/>
    <n v="3996.03"/>
    <n v="2859.51"/>
    <n v="1136.52"/>
    <x v="0"/>
    <s v="Returned"/>
  </r>
  <r>
    <x v="142"/>
    <x v="122"/>
    <d v="2024-03-26T00:00:00"/>
    <n v="-4"/>
    <s v="CUST-8944"/>
    <s v="Aditi Sen"/>
    <s v="Home Office"/>
    <x v="0"/>
    <x v="0"/>
    <s v="Jaipur"/>
    <x v="2"/>
    <s v="Phones"/>
    <s v="Classic Phones 142"/>
    <x v="0"/>
    <n v="5"/>
    <n v="907.54"/>
    <n v="0.15"/>
    <n v="3857.04"/>
    <n v="2769.26"/>
    <n v="1087.78"/>
    <x v="0"/>
    <s v="Completed"/>
  </r>
  <r>
    <x v="143"/>
    <x v="81"/>
    <d v="2024-03-26T00:00:00"/>
    <n v="2"/>
    <s v="CUST-3144"/>
    <s v="Priya Menon"/>
    <s v="Consumer"/>
    <x v="3"/>
    <x v="12"/>
    <s v="Ahmedabad"/>
    <x v="0"/>
    <s v="Paper"/>
    <s v="Pro Paper 575"/>
    <x v="0"/>
    <n v="1"/>
    <n v="3409.5"/>
    <n v="0.1"/>
    <n v="3068.55"/>
    <n v="1916.16"/>
    <n v="1152.3900000000001"/>
    <x v="0"/>
    <s v="Returned"/>
  </r>
  <r>
    <x v="144"/>
    <x v="123"/>
    <d v="2024-06-15T00:00:00"/>
    <n v="-21"/>
    <s v="CUST-6747"/>
    <s v="Kabir Singh"/>
    <s v="Small Business"/>
    <x v="2"/>
    <x v="2"/>
    <s v="Hyderabad"/>
    <x v="2"/>
    <s v="Accessories"/>
    <s v="Elite Accessories 905"/>
    <x v="2"/>
    <n v="7"/>
    <n v="2147.9899999999998"/>
    <n v="0.25"/>
    <n v="11276.95"/>
    <n v="6908.76"/>
    <n v="4368.1899999999996"/>
    <x v="1"/>
    <s v="Returned"/>
  </r>
  <r>
    <x v="145"/>
    <x v="124"/>
    <d v="2025-04-13T00:00:00"/>
    <n v="-205"/>
    <s v="CUST-6161"/>
    <s v="Mira Das"/>
    <s v="Small Business"/>
    <x v="3"/>
    <x v="14"/>
    <s v="Panaji"/>
    <x v="0"/>
    <s v="Paper"/>
    <s v="Smart Paper 899"/>
    <x v="3"/>
    <n v="4"/>
    <n v="4182.1499999999996"/>
    <n v="0.1"/>
    <n v="15055.74"/>
    <n v="9808.83"/>
    <n v="5246.91"/>
    <x v="0"/>
    <s v="Completed"/>
  </r>
  <r>
    <x v="146"/>
    <x v="125"/>
    <d v="2025-08-01T00:00:00"/>
    <n v="2"/>
    <s v="CUST-1460"/>
    <s v="Sneha Kapoor"/>
    <s v="Small Business"/>
    <x v="2"/>
    <x v="17"/>
    <s v="Chennai"/>
    <x v="0"/>
    <s v="Storage"/>
    <s v="Classic Storage 423"/>
    <x v="1"/>
    <n v="9"/>
    <n v="3165.43"/>
    <n v="0.1"/>
    <n v="25639.98"/>
    <n v="21635.08"/>
    <n v="4004.9"/>
    <x v="0"/>
    <s v="Completed"/>
  </r>
  <r>
    <x v="147"/>
    <x v="61"/>
    <d v="2024-12-30T00:00:00"/>
    <n v="7"/>
    <s v="CUST-2692"/>
    <s v="Priya Menon"/>
    <s v="Home Office"/>
    <x v="3"/>
    <x v="14"/>
    <s v="Panaji"/>
    <x v="1"/>
    <s v="Furnishings"/>
    <s v="Classic Furnishings 743"/>
    <x v="2"/>
    <n v="8"/>
    <n v="386.1"/>
    <n v="0.1"/>
    <n v="2779.92"/>
    <n v="1744.05"/>
    <n v="1035.8699999999999"/>
    <x v="0"/>
    <s v="Completed"/>
  </r>
  <r>
    <x v="148"/>
    <x v="117"/>
    <d v="2025-02-13T00:00:00"/>
    <n v="-201"/>
    <s v="CUST-2822"/>
    <s v="Mira Das"/>
    <s v="Home Office"/>
    <x v="3"/>
    <x v="4"/>
    <s v="Indore"/>
    <x v="2"/>
    <s v="Phones"/>
    <s v="Smart Phones 336"/>
    <x v="4"/>
    <n v="8"/>
    <n v="1696.07"/>
    <n v="0.25"/>
    <n v="10176.42"/>
    <n v="7604.47"/>
    <n v="2571.9499999999998"/>
    <x v="0"/>
    <s v="Completed"/>
  </r>
  <r>
    <x v="149"/>
    <x v="126"/>
    <d v="2024-01-30T00:00:00"/>
    <n v="0"/>
    <s v="CUST-5876"/>
    <s v="Aarav Sharma"/>
    <s v="Small Business"/>
    <x v="3"/>
    <x v="0"/>
    <s v="Udaipur"/>
    <x v="2"/>
    <s v="Copiers"/>
    <s v="Eco Copiers 381"/>
    <x v="1"/>
    <n v="7"/>
    <n v="2527.61"/>
    <n v="0.25"/>
    <n v="13269.95"/>
    <n v="8977.1"/>
    <n v="4292.8500000000004"/>
    <x v="0"/>
    <s v="Completed"/>
  </r>
  <r>
    <x v="150"/>
    <x v="23"/>
    <d v="2024-12-03T00:00:00"/>
    <n v="244"/>
    <s v="CUST-4661"/>
    <s v="Arjun Bose"/>
    <s v="Consumer"/>
    <x v="4"/>
    <x v="12"/>
    <s v="Ahmedabad"/>
    <x v="1"/>
    <s v="Bookcases"/>
    <s v="Max Bookcases 595"/>
    <x v="2"/>
    <n v="1"/>
    <n v="1554.12"/>
    <n v="0.1"/>
    <n v="1398.71"/>
    <n v="1056.92"/>
    <n v="341.79"/>
    <x v="0"/>
    <s v="Completed"/>
  </r>
  <r>
    <x v="151"/>
    <x v="127"/>
    <d v="2024-06-27T00:00:00"/>
    <n v="0"/>
    <s v="CUST-6011"/>
    <s v="Neha Gupta"/>
    <s v="Home Office"/>
    <x v="4"/>
    <x v="4"/>
    <s v="Indore"/>
    <x v="2"/>
    <s v="Copiers"/>
    <s v="Max Copiers 992"/>
    <x v="3"/>
    <n v="2"/>
    <n v="3859.11"/>
    <n v="0"/>
    <n v="7718.22"/>
    <n v="5355.93"/>
    <n v="2362.29"/>
    <x v="2"/>
    <s v="Returned"/>
  </r>
  <r>
    <x v="152"/>
    <x v="128"/>
    <d v="2024-06-17T00:00:00"/>
    <n v="3"/>
    <s v="CUST-6160"/>
    <s v="Kabir Singh"/>
    <s v="Small Business"/>
    <x v="2"/>
    <x v="13"/>
    <s v="Kochi"/>
    <x v="1"/>
    <s v="Tables"/>
    <s v="Pro Tables 407"/>
    <x v="0"/>
    <n v="6"/>
    <n v="1088.04"/>
    <n v="0.1"/>
    <n v="5875.42"/>
    <n v="4380.55"/>
    <n v="1494.87"/>
    <x v="2"/>
    <s v="Returned"/>
  </r>
  <r>
    <x v="153"/>
    <x v="129"/>
    <d v="2025-09-25T00:00:00"/>
    <n v="2"/>
    <s v="CUST-6971"/>
    <s v="Aditi Sen"/>
    <s v="Consumer"/>
    <x v="1"/>
    <x v="1"/>
    <s v="Bhubaneswar"/>
    <x v="0"/>
    <s v="Labels"/>
    <s v="Prime Labels 559"/>
    <x v="3"/>
    <n v="7"/>
    <n v="3280.31"/>
    <n v="0"/>
    <n v="22962.17"/>
    <n v="15716.5"/>
    <n v="7245.67"/>
    <x v="1"/>
    <s v="Returned"/>
  </r>
  <r>
    <x v="154"/>
    <x v="104"/>
    <d v="2024-02-11T00:00:00"/>
    <n v="-295"/>
    <s v="CUST-7764"/>
    <s v="Priya Menon"/>
    <s v="Consumer"/>
    <x v="2"/>
    <x v="17"/>
    <s v="Chennai"/>
    <x v="1"/>
    <s v="Bookcases"/>
    <s v="Classic Bookcases 847"/>
    <x v="1"/>
    <n v="1"/>
    <n v="2599.12"/>
    <n v="0.15"/>
    <n v="2209.25"/>
    <n v="1523.78"/>
    <n v="685.47"/>
    <x v="0"/>
    <s v="Completed"/>
  </r>
  <r>
    <x v="155"/>
    <x v="130"/>
    <d v="2025-03-02T00:00:00"/>
    <n v="35"/>
    <s v="CUST-8327"/>
    <s v="Karan Malhotra"/>
    <s v="Corporate"/>
    <x v="3"/>
    <x v="0"/>
    <s v="Udaipur"/>
    <x v="1"/>
    <s v="Furnishings"/>
    <s v="Classic Furnishings 655"/>
    <x v="1"/>
    <n v="3"/>
    <n v="2859.32"/>
    <n v="0.1"/>
    <n v="7720.16"/>
    <n v="5881"/>
    <n v="1839.16"/>
    <x v="1"/>
    <s v="Returned"/>
  </r>
  <r>
    <x v="156"/>
    <x v="131"/>
    <d v="2025-03-27T00:00:00"/>
    <n v="0"/>
    <s v="CUST-4058"/>
    <s v="Vikram Iyer"/>
    <s v="Small Business"/>
    <x v="1"/>
    <x v="9"/>
    <s v="Patna"/>
    <x v="2"/>
    <s v="Machines"/>
    <s v="Eco Machines 657"/>
    <x v="0"/>
    <n v="7"/>
    <n v="2305.37"/>
    <n v="0.25"/>
    <n v="12103.19"/>
    <n v="6717.87"/>
    <n v="5385.32"/>
    <x v="0"/>
    <s v="Completed"/>
  </r>
  <r>
    <x v="157"/>
    <x v="132"/>
    <d v="2024-10-24T00:00:00"/>
    <n v="2"/>
    <s v="CUST-1142"/>
    <s v="Rohan Mehta"/>
    <s v="Small Business"/>
    <x v="2"/>
    <x v="5"/>
    <s v="Vijayawada"/>
    <x v="1"/>
    <s v="Bookcases"/>
    <s v="Pro Bookcases 430"/>
    <x v="3"/>
    <n v="3"/>
    <n v="915.84"/>
    <n v="0.15"/>
    <n v="2335.39"/>
    <n v="1466.15"/>
    <n v="869.24"/>
    <x v="0"/>
    <s v="Completed"/>
  </r>
  <r>
    <x v="158"/>
    <x v="133"/>
    <d v="2024-09-11T00:00:00"/>
    <n v="2"/>
    <s v="CUST-2324"/>
    <s v="Neha Gupta"/>
    <s v="Home Office"/>
    <x v="2"/>
    <x v="2"/>
    <s v="Hyderabad"/>
    <x v="1"/>
    <s v="Bookcases"/>
    <s v="Max Bookcases 881"/>
    <x v="2"/>
    <n v="1"/>
    <n v="4199.54"/>
    <n v="0.05"/>
    <n v="3989.56"/>
    <n v="2381.38"/>
    <n v="1608.18"/>
    <x v="0"/>
    <s v="Completed"/>
  </r>
  <r>
    <x v="159"/>
    <x v="45"/>
    <d v="2025-04-02T00:00:00"/>
    <n v="62"/>
    <s v="CUST-7717"/>
    <s v="Priya Menon"/>
    <s v="Corporate"/>
    <x v="0"/>
    <x v="16"/>
    <s v="Gurugram"/>
    <x v="1"/>
    <s v="Chairs"/>
    <s v="Elite Chairs 998"/>
    <x v="1"/>
    <n v="9"/>
    <n v="4430.5"/>
    <n v="0.15"/>
    <n v="33893.32"/>
    <n v="25750.35"/>
    <n v="8142.97"/>
    <x v="2"/>
    <s v="Cancelled"/>
  </r>
  <r>
    <x v="160"/>
    <x v="134"/>
    <d v="2025-10-06T00:00:00"/>
    <n v="57"/>
    <s v="CUST-4932"/>
    <s v="Vikram Iyer"/>
    <s v="Small Business"/>
    <x v="3"/>
    <x v="3"/>
    <s v="Mumbai"/>
    <x v="0"/>
    <s v="Paper"/>
    <s v="Max Paper 113"/>
    <x v="0"/>
    <n v="4"/>
    <n v="1260.42"/>
    <n v="0.05"/>
    <n v="4789.6000000000004"/>
    <n v="4037.64"/>
    <n v="751.96"/>
    <x v="2"/>
    <s v="Cancelled"/>
  </r>
  <r>
    <x v="161"/>
    <x v="135"/>
    <d v="2025-07-30T00:00:00"/>
    <n v="6"/>
    <s v="CUST-2367"/>
    <s v="Arjun Bose"/>
    <s v="Consumer"/>
    <x v="3"/>
    <x v="0"/>
    <s v="Udaipur"/>
    <x v="0"/>
    <s v="Binders"/>
    <s v="Smart Binders 267"/>
    <x v="3"/>
    <n v="1"/>
    <n v="1643.41"/>
    <n v="0"/>
    <n v="1643.41"/>
    <n v="907.4"/>
    <n v="736.01"/>
    <x v="2"/>
    <s v="Cancelled"/>
  </r>
  <r>
    <x v="162"/>
    <x v="136"/>
    <d v="2024-03-14T00:00:00"/>
    <n v="-173"/>
    <s v="CUST-4830"/>
    <s v="Neha Gupta"/>
    <s v="Small Business"/>
    <x v="3"/>
    <x v="14"/>
    <s v="Panaji"/>
    <x v="1"/>
    <s v="Furnishings"/>
    <s v="Pro Furnishings 108"/>
    <x v="0"/>
    <n v="8"/>
    <n v="4472.84"/>
    <n v="0"/>
    <n v="35997.620000000003"/>
    <n v="26424.41"/>
    <n v="9358.31"/>
    <x v="2"/>
    <s v="Returned"/>
  </r>
  <r>
    <x v="163"/>
    <x v="137"/>
    <d v="2025-09-26T00:00:00"/>
    <n v="5"/>
    <s v="CUST-2548"/>
    <s v="Rohan Mehta"/>
    <s v="Home Office"/>
    <x v="3"/>
    <x v="12"/>
    <s v="Ahmedabad"/>
    <x v="1"/>
    <s v="Tables"/>
    <s v="Elite Tables 389"/>
    <x v="4"/>
    <n v="6"/>
    <n v="2903.58"/>
    <n v="0.1"/>
    <n v="15679.33"/>
    <n v="12477.82"/>
    <n v="3201.51"/>
    <x v="2"/>
    <s v="Returned"/>
  </r>
  <r>
    <x v="164"/>
    <x v="138"/>
    <d v="2025-09-14T00:00:00"/>
    <n v="5"/>
    <s v="CUST-3833"/>
    <s v="Rahul Verma"/>
    <s v="Small Business"/>
    <x v="1"/>
    <x v="6"/>
    <s v="Kolkata"/>
    <x v="1"/>
    <s v="Bookcases"/>
    <s v="Pro Bookcases 595"/>
    <x v="0"/>
    <n v="1"/>
    <n v="3154.42"/>
    <n v="0.25"/>
    <n v="2365.8200000000002"/>
    <n v="1547.99"/>
    <n v="817.83"/>
    <x v="0"/>
    <s v="Completed"/>
  </r>
  <r>
    <x v="165"/>
    <x v="30"/>
    <d v="2024-11-29T00:00:00"/>
    <n v="7"/>
    <s v="CUST-4598"/>
    <s v="Mira Das"/>
    <s v="Home Office"/>
    <x v="1"/>
    <x v="9"/>
    <s v="Patna"/>
    <x v="1"/>
    <s v="Chairs"/>
    <s v="Max Chairs 148"/>
    <x v="3"/>
    <n v="4"/>
    <n v="3422.99"/>
    <n v="0.25"/>
    <n v="10268.969999999999"/>
    <n v="6470.92"/>
    <n v="3798.05"/>
    <x v="0"/>
    <s v="Completed"/>
  </r>
  <r>
    <x v="166"/>
    <x v="139"/>
    <d v="2025-02-26T00:00:00"/>
    <n v="6"/>
    <s v="CUST-7215"/>
    <s v="Karan Malhotra"/>
    <s v="Small Business"/>
    <x v="3"/>
    <x v="12"/>
    <s v="Ahmedabad"/>
    <x v="0"/>
    <s v="Labels"/>
    <s v="Basic Labels 671"/>
    <x v="2"/>
    <n v="1"/>
    <n v="2557.85"/>
    <n v="0.2"/>
    <n v="2046.28"/>
    <n v="1449.54"/>
    <n v="596.74"/>
    <x v="0"/>
    <s v="Completed"/>
  </r>
  <r>
    <x v="167"/>
    <x v="140"/>
    <d v="2025-08-18T00:00:00"/>
    <n v="0"/>
    <s v="CUST-7770"/>
    <s v="Arjun Bose"/>
    <s v="Home Office"/>
    <x v="2"/>
    <x v="11"/>
    <s v="Bengaluru"/>
    <x v="0"/>
    <s v="Storage"/>
    <s v="Elite Storage 628"/>
    <x v="2"/>
    <n v="9"/>
    <n v="3030.93"/>
    <n v="0.15"/>
    <n v="23186.61"/>
    <n v="17906.54"/>
    <n v="5280.07"/>
    <x v="0"/>
    <s v="Returned"/>
  </r>
  <r>
    <x v="168"/>
    <x v="141"/>
    <d v="2025-01-23T00:00:00"/>
    <n v="3"/>
    <s v="CUST-9756"/>
    <s v="Kabir Singh"/>
    <s v="Consumer"/>
    <x v="3"/>
    <x v="3"/>
    <s v="Mumbai"/>
    <x v="2"/>
    <s v="Accessories"/>
    <s v="Eco Accessories 590"/>
    <x v="1"/>
    <n v="5"/>
    <n v="639.27"/>
    <n v="0.2"/>
    <n v="2557.08"/>
    <n v="2025.69"/>
    <n v="531.39"/>
    <x v="0"/>
    <s v="Cancelled"/>
  </r>
  <r>
    <x v="169"/>
    <x v="142"/>
    <d v="2025-09-13T00:00:00"/>
    <n v="0"/>
    <s v="CUST-2261"/>
    <s v="Diya Patel"/>
    <s v="Consumer"/>
    <x v="1"/>
    <x v="10"/>
    <s v="Guwahati"/>
    <x v="0"/>
    <s v="Art"/>
    <s v="Pro Art 734"/>
    <x v="3"/>
    <n v="8"/>
    <n v="733.9"/>
    <n v="0.05"/>
    <n v="5577.64"/>
    <n v="3541.29"/>
    <n v="2036.35"/>
    <x v="2"/>
    <s v="Returned"/>
  </r>
  <r>
    <x v="170"/>
    <x v="9"/>
    <d v="2025-09-15T00:00:00"/>
    <n v="68"/>
    <s v="CUST-3734"/>
    <s v="Rohan Mehta"/>
    <s v="Corporate"/>
    <x v="1"/>
    <x v="9"/>
    <s v="Patna"/>
    <x v="2"/>
    <s v="Copiers"/>
    <s v="Eco Copiers 102"/>
    <x v="3"/>
    <n v="3"/>
    <n v="1711.32"/>
    <n v="0"/>
    <n v="5133.96"/>
    <n v="3930"/>
    <n v="1203.96"/>
    <x v="0"/>
    <s v="Completed"/>
  </r>
  <r>
    <x v="171"/>
    <x v="7"/>
    <d v="2025-02-25T00:00:00"/>
    <n v="2"/>
    <s v="CUST-3436"/>
    <s v="Karan Malhotra"/>
    <s v="Corporate"/>
    <x v="1"/>
    <x v="9"/>
    <s v="Patna"/>
    <x v="0"/>
    <s v="Labels"/>
    <s v="Basic Labels 876"/>
    <x v="1"/>
    <n v="5"/>
    <n v="4246.2700000000004"/>
    <n v="0.25"/>
    <n v="15923.51"/>
    <n v="11291.8"/>
    <n v="4631.71"/>
    <x v="0"/>
    <s v="Completed"/>
  </r>
  <r>
    <x v="172"/>
    <x v="143"/>
    <d v="2025-10-08T00:00:00"/>
    <n v="242"/>
    <s v="CUST-4845"/>
    <s v="Karan Malhotra"/>
    <s v="Corporate"/>
    <x v="0"/>
    <x v="18"/>
    <s v="New Delhi"/>
    <x v="1"/>
    <s v="Furnishings"/>
    <s v="Prime Furnishings 381"/>
    <x v="1"/>
    <n v="9"/>
    <n v="2962.62"/>
    <n v="0.1"/>
    <n v="23997.22"/>
    <n v="16134.63"/>
    <n v="7862.59"/>
    <x v="1"/>
    <s v="Returned"/>
  </r>
  <r>
    <x v="173"/>
    <x v="144"/>
    <d v="2024-08-05T00:00:00"/>
    <n v="182"/>
    <s v="CUST-6153"/>
    <s v="Priya Menon"/>
    <s v="Home Office"/>
    <x v="0"/>
    <x v="7"/>
    <s v="Ludhiana"/>
    <x v="2"/>
    <s v="Copiers"/>
    <s v="Prime Copiers 440"/>
    <x v="0"/>
    <n v="1"/>
    <n v="2312.25"/>
    <n v="0.25"/>
    <n v="1734.19"/>
    <n v="1386.07"/>
    <n v="348.12"/>
    <x v="0"/>
    <s v="Completed"/>
  </r>
  <r>
    <x v="174"/>
    <x v="145"/>
    <d v="2025-04-10T00:00:00"/>
    <n v="-171"/>
    <s v="CUST-5475"/>
    <s v="Karan Malhotra"/>
    <s v="Small Business"/>
    <x v="2"/>
    <x v="11"/>
    <s v="Bengaluru"/>
    <x v="1"/>
    <s v="Bookcases"/>
    <s v="Pro Bookcases 319"/>
    <x v="2"/>
    <n v="6"/>
    <n v="1620.53"/>
    <n v="0.15"/>
    <n v="8264.7000000000007"/>
    <n v="4768.75"/>
    <n v="3495.95"/>
    <x v="2"/>
    <s v="Returned"/>
  </r>
  <r>
    <x v="175"/>
    <x v="114"/>
    <d v="2024-03-02T00:00:00"/>
    <n v="35"/>
    <s v="CUST-5580"/>
    <s v="Arjun Bose"/>
    <s v="Small Business"/>
    <x v="1"/>
    <x v="9"/>
    <s v="Patna"/>
    <x v="2"/>
    <s v="Machines"/>
    <s v="Basic Machines 584"/>
    <x v="1"/>
    <n v="7"/>
    <n v="2673.42"/>
    <n v="0.15"/>
    <n v="15906.85"/>
    <n v="11014.46"/>
    <n v="4892.3900000000003"/>
    <x v="0"/>
    <s v="Returned"/>
  </r>
  <r>
    <x v="176"/>
    <x v="146"/>
    <d v="2025-03-26T00:00:00"/>
    <n v="8"/>
    <s v="CUST-3027"/>
    <s v="Vikram Iyer"/>
    <s v="Corporate"/>
    <x v="1"/>
    <x v="15"/>
    <s v="Ranchi"/>
    <x v="1"/>
    <s v="Bookcases"/>
    <s v="Pro Bookcases 612"/>
    <x v="3"/>
    <n v="8"/>
    <n v="3563.09"/>
    <n v="0.15"/>
    <n v="24229.01"/>
    <n v="13910.64"/>
    <n v="10318.370000000001"/>
    <x v="0"/>
    <s v="Completed"/>
  </r>
  <r>
    <x v="177"/>
    <x v="147"/>
    <d v="2024-06-03T00:00:00"/>
    <n v="149"/>
    <s v="CUST-4399"/>
    <s v="Sneha Kapoor"/>
    <s v="Home Office"/>
    <x v="4"/>
    <x v="9"/>
    <s v="Patna"/>
    <x v="0"/>
    <s v="Art"/>
    <s v="Classic Art 573"/>
    <x v="1"/>
    <n v="8"/>
    <n v="3879.95"/>
    <n v="0"/>
    <n v="31039.599999999999"/>
    <n v="20866.72"/>
    <n v="10172.879999999999"/>
    <x v="0"/>
    <s v="Completed"/>
  </r>
  <r>
    <x v="178"/>
    <x v="148"/>
    <d v="2024-09-30T00:00:00"/>
    <n v="0"/>
    <s v="CUST-3092"/>
    <s v="Isha Nair"/>
    <s v="Corporate"/>
    <x v="2"/>
    <x v="2"/>
    <s v="Hyderabad"/>
    <x v="0"/>
    <s v="Art"/>
    <s v="Eco Art 854"/>
    <x v="3"/>
    <n v="4"/>
    <n v="3281.74"/>
    <n v="0"/>
    <n v="13126.96"/>
    <n v="10732.44"/>
    <n v="2394.52"/>
    <x v="0"/>
    <s v="Completed"/>
  </r>
  <r>
    <x v="179"/>
    <x v="149"/>
    <d v="2024-03-19T00:00:00"/>
    <n v="4"/>
    <s v="CUST-1778"/>
    <s v="Ananya Rao"/>
    <s v="Small Business"/>
    <x v="2"/>
    <x v="17"/>
    <s v="Chennai"/>
    <x v="1"/>
    <s v="Furnishings"/>
    <s v="Classic Furnishings 996"/>
    <x v="3"/>
    <n v="4"/>
    <n v="3186.3"/>
    <n v="0.25"/>
    <n v="9558.9"/>
    <n v="5516.76"/>
    <n v="4042.14"/>
    <x v="1"/>
    <s v="Returned"/>
  </r>
  <r>
    <x v="180"/>
    <x v="150"/>
    <d v="2024-08-26T00:00:00"/>
    <n v="0"/>
    <s v="CUST-3787"/>
    <s v="Mira Das"/>
    <s v="Home Office"/>
    <x v="0"/>
    <x v="8"/>
    <s v="Noida"/>
    <x v="0"/>
    <s v="Binders"/>
    <s v="Prime Binders 735"/>
    <x v="2"/>
    <n v="7"/>
    <n v="844.59"/>
    <n v="0.1"/>
    <n v="5320.92"/>
    <n v="3041.5"/>
    <n v="2279.42"/>
    <x v="0"/>
    <s v="Completed"/>
  </r>
  <r>
    <x v="181"/>
    <x v="138"/>
    <d v="2025-10-09T00:00:00"/>
    <n v="30"/>
    <s v="CUST-5119"/>
    <s v="Priya Menon"/>
    <s v="Home Office"/>
    <x v="2"/>
    <x v="17"/>
    <s v="Chennai"/>
    <x v="0"/>
    <s v="Art"/>
    <s v="Pro Art 587"/>
    <x v="0"/>
    <n v="4"/>
    <n v="2551.4499999999998"/>
    <n v="0"/>
    <n v="10205.799999999999"/>
    <n v="5986.31"/>
    <n v="4219.49"/>
    <x v="0"/>
    <s v="Completed"/>
  </r>
  <r>
    <x v="182"/>
    <x v="151"/>
    <d v="2024-10-16T00:00:00"/>
    <n v="0"/>
    <s v="CUST-4121"/>
    <s v="Ananya Rao"/>
    <s v="Home Office"/>
    <x v="1"/>
    <x v="9"/>
    <s v="Patna"/>
    <x v="2"/>
    <s v="Machines"/>
    <s v="Basic Machines 575"/>
    <x v="3"/>
    <n v="7"/>
    <n v="775.77"/>
    <n v="0"/>
    <n v="5430.39"/>
    <n v="3707.66"/>
    <n v="1722.73"/>
    <x v="0"/>
    <s v="Completed"/>
  </r>
  <r>
    <x v="183"/>
    <x v="152"/>
    <d v="2025-06-27T00:00:00"/>
    <n v="3"/>
    <s v="CUST-3366"/>
    <s v="Vikram Iyer"/>
    <s v="Home Office"/>
    <x v="2"/>
    <x v="2"/>
    <s v="Hyderabad"/>
    <x v="2"/>
    <s v="Copiers"/>
    <s v="Elite Copiers 788"/>
    <x v="3"/>
    <n v="7"/>
    <n v="2304.86"/>
    <n v="0.2"/>
    <n v="12907.22"/>
    <n v="8327.89"/>
    <n v="4579.33"/>
    <x v="0"/>
    <s v="Returned"/>
  </r>
  <r>
    <x v="184"/>
    <x v="153"/>
    <d v="2024-06-04T00:00:00"/>
    <n v="121"/>
    <s v="CUST-1358"/>
    <s v="Vikram Iyer"/>
    <s v="Corporate"/>
    <x v="3"/>
    <x v="4"/>
    <s v="Indore"/>
    <x v="1"/>
    <s v="Bookcases"/>
    <s v="Max Bookcases 472"/>
    <x v="3"/>
    <n v="2"/>
    <n v="888.98"/>
    <n v="0"/>
    <n v="1777.96"/>
    <n v="1021.16"/>
    <n v="756.8"/>
    <x v="1"/>
    <s v="Returned"/>
  </r>
  <r>
    <x v="185"/>
    <x v="8"/>
    <d v="2024-11-13T00:00:00"/>
    <n v="8"/>
    <s v="CUST-4968"/>
    <s v="Arjun Bose"/>
    <s v="Consumer"/>
    <x v="4"/>
    <x v="7"/>
    <s v="Ludhiana"/>
    <x v="0"/>
    <s v="Labels"/>
    <s v="Smart Labels 475"/>
    <x v="0"/>
    <n v="2"/>
    <n v="1003.17"/>
    <n v="0.2"/>
    <n v="1605.07"/>
    <n v="1337.28"/>
    <n v="267.79000000000002"/>
    <x v="0"/>
    <s v="Completed"/>
  </r>
  <r>
    <x v="186"/>
    <x v="43"/>
    <d v="2024-07-20T00:00:00"/>
    <n v="1"/>
    <s v="CUST-2778"/>
    <s v="Vikram Iyer"/>
    <s v="Consumer"/>
    <x v="2"/>
    <x v="17"/>
    <s v="Chennai"/>
    <x v="1"/>
    <s v="Tables"/>
    <s v="Basic Tables 417"/>
    <x v="2"/>
    <n v="7"/>
    <n v="3608.43"/>
    <n v="0.05"/>
    <n v="23996.06"/>
    <n v="20167.28"/>
    <n v="3828.78"/>
    <x v="0"/>
    <s v="Completed"/>
  </r>
  <r>
    <x v="187"/>
    <x v="154"/>
    <d v="2025-02-05T00:00:00"/>
    <n v="31"/>
    <s v="CUST-3109"/>
    <s v="Mira Das"/>
    <s v="Consumer"/>
    <x v="3"/>
    <x v="4"/>
    <s v="Indore"/>
    <x v="1"/>
    <s v="Chairs"/>
    <s v="Pro Chairs 844"/>
    <x v="1"/>
    <n v="3"/>
    <n v="2905.74"/>
    <n v="0"/>
    <n v="8717.2199999999993"/>
    <n v="6215.96"/>
    <n v="2501.2600000000002"/>
    <x v="0"/>
    <s v="Returned"/>
  </r>
  <r>
    <x v="188"/>
    <x v="155"/>
    <d v="2025-05-28T00:00:00"/>
    <n v="7"/>
    <s v="CUST-3422"/>
    <s v="Priya Menon"/>
    <s v="Corporate"/>
    <x v="1"/>
    <x v="6"/>
    <s v="Kolkata"/>
    <x v="1"/>
    <s v="Bookcases"/>
    <s v="Elite Bookcases 883"/>
    <x v="1"/>
    <n v="2"/>
    <n v="3559.57"/>
    <n v="0.1"/>
    <n v="6553.95"/>
    <n v="4923.09"/>
    <n v="1484.14"/>
    <x v="0"/>
    <s v="Completed"/>
  </r>
  <r>
    <x v="189"/>
    <x v="156"/>
    <d v="2025-07-05T00:00:00"/>
    <n v="30"/>
    <s v="CUST-3375"/>
    <s v="Arjun Bose"/>
    <s v="Consumer"/>
    <x v="3"/>
    <x v="0"/>
    <s v="Udaipur"/>
    <x v="1"/>
    <s v="Bookcases"/>
    <s v="Basic Bookcases 754"/>
    <x v="2"/>
    <n v="9"/>
    <n v="3318.24"/>
    <m/>
    <n v="25384.54"/>
    <n v="16872.39"/>
    <n v="8512.15"/>
    <x v="0"/>
    <s v="Completed"/>
  </r>
  <r>
    <x v="190"/>
    <x v="157"/>
    <d v="2025-04-21T00:00:00"/>
    <n v="1"/>
    <s v="CUST-5138"/>
    <s v="Aditi Sen"/>
    <s v="Consumer"/>
    <x v="2"/>
    <x v="17"/>
    <s v="Chennai"/>
    <x v="0"/>
    <s v="Storage"/>
    <s v="Eco Storage 158"/>
    <x v="2"/>
    <n v="3"/>
    <n v="540.09"/>
    <n v="0.1"/>
    <n v="1458.24"/>
    <n v="943.32"/>
    <n v="514.91999999999996"/>
    <x v="0"/>
    <s v="Completed"/>
  </r>
  <r>
    <x v="191"/>
    <x v="158"/>
    <d v="2024-10-24T00:00:00"/>
    <n v="5"/>
    <s v="CUST-7410"/>
    <s v="Sneha Kapoor"/>
    <s v="Small Business"/>
    <x v="2"/>
    <x v="17"/>
    <s v="Chennai"/>
    <x v="1"/>
    <s v="Bookcases"/>
    <s v="Prime Bookcases 602"/>
    <x v="0"/>
    <n v="6"/>
    <n v="4308.3999999999996"/>
    <n v="0.65"/>
    <n v="25850.400000000001"/>
    <n v="19397.68"/>
    <n v="6452.72"/>
    <x v="0"/>
    <s v="Completed"/>
  </r>
  <r>
    <x v="192"/>
    <x v="159"/>
    <d v="2024-12-16T00:00:00"/>
    <n v="95"/>
    <s v="CUST-7115"/>
    <s v="Isha Nair"/>
    <s v="Home Office"/>
    <x v="3"/>
    <x v="12"/>
    <s v="Ahmedabad"/>
    <x v="1"/>
    <s v="Chairs"/>
    <s v="Eco Chairs 438"/>
    <x v="2"/>
    <n v="4"/>
    <n v="2191.0300000000002"/>
    <n v="0"/>
    <n v="8764.1200000000008"/>
    <n v="7220.05"/>
    <n v="1544.07"/>
    <x v="0"/>
    <s v="Completed"/>
  </r>
  <r>
    <x v="193"/>
    <x v="160"/>
    <d v="2024-06-28T00:00:00"/>
    <n v="5"/>
    <s v="CUST-9853"/>
    <s v="Priya Menon"/>
    <s v="Small Business"/>
    <x v="0"/>
    <x v="7"/>
    <s v="Ludhiana"/>
    <x v="2"/>
    <s v="Copiers"/>
    <s v="Prime Copiers 142"/>
    <x v="1"/>
    <n v="6"/>
    <n v="1956.63"/>
    <n v="0.2"/>
    <n v="9391.82"/>
    <n v="6013.22"/>
    <n v="3378.6"/>
    <x v="1"/>
    <s v="Returned"/>
  </r>
  <r>
    <x v="194"/>
    <x v="161"/>
    <d v="2025-01-31T00:00:00"/>
    <n v="3"/>
    <s v="CUST-3637"/>
    <s v="Priya Menon"/>
    <s v="Consumer"/>
    <x v="3"/>
    <x v="3"/>
    <s v="Mumbai"/>
    <x v="1"/>
    <s v="Furnishings"/>
    <s v="Prime Furnishings 433"/>
    <x v="2"/>
    <n v="9"/>
    <n v="858.39"/>
    <n v="0.05"/>
    <n v="7339.23"/>
    <n v="5434.12"/>
    <n v="1905.11"/>
    <x v="2"/>
    <s v="Returned"/>
  </r>
  <r>
    <x v="195"/>
    <x v="162"/>
    <d v="2025-07-24T00:00:00"/>
    <n v="2"/>
    <s v="CUST-4328"/>
    <s v="Neha Gupta"/>
    <s v="Home Office"/>
    <x v="2"/>
    <x v="5"/>
    <s v="Vijayawada"/>
    <x v="1"/>
    <s v="Furnishings"/>
    <s v="Smart Furnishings 685"/>
    <x v="1"/>
    <n v="5"/>
    <n v="1922.83"/>
    <n v="0"/>
    <n v="9614.15"/>
    <n v="7576.84"/>
    <n v="2037.31"/>
    <x v="0"/>
    <s v="Completed"/>
  </r>
  <r>
    <x v="196"/>
    <x v="163"/>
    <d v="2024-01-25T00:00:00"/>
    <n v="3"/>
    <s v="CUST-8028"/>
    <s v="Kabir Singh"/>
    <s v="Home Office"/>
    <x v="0"/>
    <x v="8"/>
    <s v="Noida"/>
    <x v="0"/>
    <s v="Storage"/>
    <s v="Elite Storage 915"/>
    <x v="2"/>
    <n v="3"/>
    <n v="1212.03"/>
    <n v="0.1"/>
    <n v="3272.48"/>
    <n v="2517.44"/>
    <n v="755.04"/>
    <x v="0"/>
    <s v="Completed"/>
  </r>
  <r>
    <x v="197"/>
    <x v="50"/>
    <d v="2025-07-04T00:00:00"/>
    <n v="95"/>
    <s v="CUST-6106"/>
    <s v="Rahul Verma"/>
    <s v="Small  Business"/>
    <x v="1"/>
    <x v="9"/>
    <s v="Patna"/>
    <x v="0"/>
    <s v="Storage"/>
    <s v="Basic Storage 961"/>
    <x v="0"/>
    <n v="5"/>
    <n v="4096.4399999999996"/>
    <n v="0.15"/>
    <n v="17409.87"/>
    <n v="14076.25"/>
    <n v="3333.62"/>
    <x v="0"/>
    <s v="Completed"/>
  </r>
  <r>
    <x v="198"/>
    <x v="88"/>
    <d v="2024-06-06T00:00:00"/>
    <n v="31"/>
    <s v="CUST-7820"/>
    <s v="Sneha Kapoor"/>
    <s v="Consumer"/>
    <x v="3"/>
    <x v="12"/>
    <s v="Ahmedabad"/>
    <x v="0"/>
    <s v="Art"/>
    <s v="Classic Art 968"/>
    <x v="0"/>
    <n v="1"/>
    <n v="1184.58"/>
    <n v="0.05"/>
    <n v="1125.3499999999999"/>
    <n v="676.97"/>
    <n v="448.38"/>
    <x v="3"/>
    <s v="Cancelled"/>
  </r>
  <r>
    <x v="199"/>
    <x v="38"/>
    <d v="2024-12-03T00:00:00"/>
    <n v="266"/>
    <s v="CUST-4536"/>
    <s v="Rahul Verma"/>
    <s v="Home Office"/>
    <x v="1"/>
    <x v="9"/>
    <s v="Patna"/>
    <x v="2"/>
    <s v="Machines"/>
    <s v="Prime Machines 806"/>
    <x v="4"/>
    <n v="6"/>
    <n v="2185.58"/>
    <n v="0.25"/>
    <n v="9835.11"/>
    <n v="5437.64"/>
    <n v="4397.47"/>
    <x v="0"/>
    <s v="Completed"/>
  </r>
  <r>
    <x v="200"/>
    <x v="102"/>
    <d v="2025-05-07T00:00:00"/>
    <n v="-51"/>
    <s v="CUST-7047"/>
    <s v="Priya Menon"/>
    <s v="Small Business"/>
    <x v="0"/>
    <x v="0"/>
    <s v="Jaipur"/>
    <x v="2"/>
    <s v="Copiers"/>
    <s v="Classic Copiers 479"/>
    <x v="2"/>
    <n v="5"/>
    <n v="2868.44"/>
    <n v="0.1"/>
    <n v="12907.98"/>
    <n v="9197.08"/>
    <n v="3710.9"/>
    <x v="2"/>
    <s v="Cancelled"/>
  </r>
  <r>
    <x v="201"/>
    <x v="164"/>
    <d v="2025-08-03T00:00:00"/>
    <n v="8"/>
    <s v="CUST-8005"/>
    <s v="Vikram Iyer"/>
    <s v="Consumer"/>
    <x v="3"/>
    <x v="4"/>
    <s v="Indore"/>
    <x v="0"/>
    <s v="Labels"/>
    <s v="Basic Labels 511"/>
    <x v="0"/>
    <n v="2"/>
    <n v="2503.5300000000002"/>
    <n v="-0.16"/>
    <n v="4756.71"/>
    <n v="2954.86"/>
    <n v="1801.85"/>
    <x v="1"/>
    <s v="Cancelled"/>
  </r>
  <r>
    <x v="202"/>
    <x v="165"/>
    <d v="2025-03-28T00:00:00"/>
    <n v="0"/>
    <s v="CUST-9378"/>
    <s v="Sneha Kapoor"/>
    <s v="Corporate"/>
    <x v="3"/>
    <x v="14"/>
    <s v="Panaji"/>
    <x v="2"/>
    <s v="Accessories"/>
    <s v="Prime Accessories 733"/>
    <x v="3"/>
    <n v="8"/>
    <n v="1740.94"/>
    <n v="0.05"/>
    <n v="13231.14"/>
    <n v="11290.06"/>
    <n v="1941.08"/>
    <x v="0"/>
    <s v="Completed"/>
  </r>
  <r>
    <x v="203"/>
    <x v="166"/>
    <d v="2024-03-30T00:00:00"/>
    <n v="2"/>
    <s v="CUST-3384"/>
    <s v="Sneha Kapoor"/>
    <s v="Corporate"/>
    <x v="3"/>
    <x v="0"/>
    <s v="Udaipur"/>
    <x v="2"/>
    <s v="Accessories"/>
    <s v="Max Accessories 186"/>
    <x v="0"/>
    <n v="1"/>
    <n v="570.34"/>
    <n v="0.15"/>
    <n v="484.79"/>
    <n v="333.54"/>
    <n v="151.25"/>
    <x v="0"/>
    <s v="Completed"/>
  </r>
  <r>
    <x v="204"/>
    <x v="167"/>
    <d v="2025-07-23T00:00:00"/>
    <n v="3"/>
    <s v="CUST-1986"/>
    <s v="Mira Das"/>
    <s v="Home Office"/>
    <x v="1"/>
    <x v="6"/>
    <s v="Kolkata"/>
    <x v="1"/>
    <s v="Tables"/>
    <s v="Elite Tables 318"/>
    <x v="0"/>
    <n v="4"/>
    <n v="477.69"/>
    <n v="0.15"/>
    <n v="1624.15"/>
    <n v="1217.99"/>
    <n v="406.16"/>
    <x v="0"/>
    <s v="Completed"/>
  </r>
  <r>
    <x v="205"/>
    <x v="168"/>
    <d v="2025-04-26T00:00:00"/>
    <n v="5"/>
    <s v="CUST-3338"/>
    <s v="Ananya Rao"/>
    <s v="Consumer"/>
    <x v="3"/>
    <x v="3"/>
    <s v="Mumbai"/>
    <x v="0"/>
    <s v="Labels"/>
    <s v="Smart Labels 354"/>
    <x v="1"/>
    <n v="6"/>
    <n v="873.59"/>
    <n v="0.2"/>
    <n v="4193.2299999999996"/>
    <n v="3329.99"/>
    <n v="863.24"/>
    <x v="0"/>
    <s v="Completed"/>
  </r>
  <r>
    <x v="206"/>
    <x v="169"/>
    <d v="2025-05-20T00:00:00"/>
    <n v="2"/>
    <s v="CUST-2343"/>
    <s v="Diya Patel"/>
    <s v="Small Business"/>
    <x v="0"/>
    <x v="8"/>
    <s v="Noida"/>
    <x v="1"/>
    <s v="Furnishings"/>
    <s v="Pro Furnishings 981"/>
    <x v="2"/>
    <n v="2"/>
    <n v="215.13"/>
    <n v="0"/>
    <n v="430.26"/>
    <n v="286.38"/>
    <n v="143.88"/>
    <x v="0"/>
    <s v="Completed"/>
  </r>
  <r>
    <x v="207"/>
    <x v="170"/>
    <d v="2024-07-16T00:00:00"/>
    <n v="-83"/>
    <s v="CUST-3362"/>
    <s v="Aarav Sharma"/>
    <s v="Home Office"/>
    <x v="3"/>
    <x v="14"/>
    <s v="Panaji"/>
    <x v="1"/>
    <s v="Bookcases"/>
    <s v="Eco Bookcases 671"/>
    <x v="0"/>
    <n v="2"/>
    <n v="1095.45"/>
    <n v="0.2"/>
    <n v="1752.72"/>
    <n v="996.41"/>
    <n v="756.31"/>
    <x v="0"/>
    <s v="Completed"/>
  </r>
  <r>
    <x v="208"/>
    <x v="171"/>
    <d v="2025-05-07T00:00:00"/>
    <n v="-53"/>
    <s v="CUST-3662"/>
    <s v="Diya Patel"/>
    <s v="Consumer"/>
    <x v="0"/>
    <x v="7"/>
    <s v="Ludhiana"/>
    <x v="1"/>
    <s v="Chairs"/>
    <s v="Max Chairs 151"/>
    <x v="1"/>
    <n v="1"/>
    <n v="999.83"/>
    <n v="0"/>
    <n v="999.83"/>
    <n v="634.91"/>
    <n v="364.92"/>
    <x v="0"/>
    <s v="Completed"/>
  </r>
  <r>
    <x v="209"/>
    <x v="27"/>
    <d v="2025-08-14T00:00:00"/>
    <n v="1"/>
    <s v="CUST-4947"/>
    <s v="Rohan Mehta"/>
    <s v="Small Business"/>
    <x v="2"/>
    <x v="5"/>
    <s v="Vijayawada"/>
    <x v="0"/>
    <s v="Paper"/>
    <s v="Prime Paper 903"/>
    <x v="2"/>
    <n v="9"/>
    <n v="864.98"/>
    <n v="0.1"/>
    <n v="7006.34"/>
    <n v="4640.88"/>
    <n v="2365.46"/>
    <x v="0"/>
    <s v="Completed"/>
  </r>
  <r>
    <x v="210"/>
    <x v="149"/>
    <d v="2024-03-18T00:00:00"/>
    <n v="3"/>
    <s v="CUST-3076"/>
    <s v="Kabir Singh"/>
    <s v="Home Office"/>
    <x v="2"/>
    <x v="11"/>
    <s v="Bengaluru"/>
    <x v="2"/>
    <s v="Machines"/>
    <s v="Classic Machines 944"/>
    <x v="0"/>
    <n v="1"/>
    <n v="4131.3599999999997"/>
    <n v="0"/>
    <n v="4131.3599999999997"/>
    <n v="2937.07"/>
    <n v="1194.29"/>
    <x v="3"/>
    <s v="Returned"/>
  </r>
  <r>
    <x v="211"/>
    <x v="172"/>
    <d v="2024-05-17T00:00:00"/>
    <n v="1"/>
    <s v="CUST-2222"/>
    <s v="Rohan Mehta"/>
    <s v="Corporate"/>
    <x v="1"/>
    <x v="6"/>
    <s v="Kolkata"/>
    <x v="2"/>
    <s v="Copiers"/>
    <s v="Basic Copiers 222"/>
    <x v="0"/>
    <n v="8"/>
    <n v="4221.95"/>
    <n v="0.2"/>
    <n v="27020.48"/>
    <n v="22885.24"/>
    <n v="4135.24"/>
    <x v="0"/>
    <s v="Completed"/>
  </r>
  <r>
    <x v="212"/>
    <x v="173"/>
    <d v="2024-09-21T00:00:00"/>
    <n v="0"/>
    <s v="CUST-3610"/>
    <s v="Ananya Rao"/>
    <s v="Small Business"/>
    <x v="1"/>
    <x v="1"/>
    <s v="Bhubaneswar"/>
    <x v="2"/>
    <s v="Phones"/>
    <s v="Max Phones 329"/>
    <x v="1"/>
    <n v="2"/>
    <n v="214.5"/>
    <n v="0.15"/>
    <n v="364.65"/>
    <n v="280.74"/>
    <n v="83.91"/>
    <x v="0"/>
    <s v="Completed"/>
  </r>
  <r>
    <x v="213"/>
    <x v="174"/>
    <d v="2024-05-21T00:00:00"/>
    <n v="6"/>
    <s v="CUST-9136"/>
    <s v="Isha Nair"/>
    <s v="Small Business"/>
    <x v="1"/>
    <x v="9"/>
    <s v="Patna"/>
    <x v="2"/>
    <s v="Accessories"/>
    <s v="Classic Accessories 840"/>
    <x v="0"/>
    <n v="4"/>
    <n v="4332.7299999999996"/>
    <n v="0.2"/>
    <n v="13864.74"/>
    <n v="11294.06"/>
    <n v="2570.6799999999998"/>
    <x v="0"/>
    <s v="Completed"/>
  </r>
  <r>
    <x v="214"/>
    <x v="175"/>
    <d v="2024-03-23T00:00:00"/>
    <n v="6"/>
    <s v="CUST-1301"/>
    <s v="Rahul Verma"/>
    <s v="Consumer"/>
    <x v="0"/>
    <x v="16"/>
    <s v="Gurugram"/>
    <x v="2"/>
    <s v="Accessories"/>
    <s v="Classic Accessories 757"/>
    <x v="2"/>
    <n v="3"/>
    <n v="248.18"/>
    <n v="0.05"/>
    <n v="707.31"/>
    <n v="569"/>
    <n v="138.31"/>
    <x v="0"/>
    <s v="Completed"/>
  </r>
  <r>
    <x v="215"/>
    <x v="176"/>
    <d v="2024-04-03T00:00:00"/>
    <n v="91"/>
    <s v="CUST-8603"/>
    <s v="Mira Das"/>
    <s v="Consumer"/>
    <x v="3"/>
    <x v="4"/>
    <s v="Indore"/>
    <x v="0"/>
    <s v="Paper"/>
    <s v="Prime Paper 286"/>
    <x v="2"/>
    <n v="8"/>
    <n v="3202.4"/>
    <n v="0.25"/>
    <n v="19214.400000000001"/>
    <n v="10916.01"/>
    <n v="8298.39"/>
    <x v="0"/>
    <s v="Completed"/>
  </r>
  <r>
    <x v="216"/>
    <x v="6"/>
    <d v="2025-04-15T00:00:00"/>
    <n v="5"/>
    <s v="CUST-4330"/>
    <s v="Isha Nair"/>
    <s v="Consumer"/>
    <x v="3"/>
    <x v="12"/>
    <s v="Ahmedabad"/>
    <x v="1"/>
    <s v="Tables"/>
    <s v="Basic Tables 400"/>
    <x v="3"/>
    <n v="8"/>
    <n v="1839.87"/>
    <n v="0.25"/>
    <n v="11039.22"/>
    <n v="7642.91"/>
    <n v="3396.31"/>
    <x v="3"/>
    <s v="Returned"/>
  </r>
  <r>
    <x v="217"/>
    <x v="177"/>
    <d v="2025-04-08T00:00:00"/>
    <n v="94"/>
    <s v="CUST-4533"/>
    <s v="Aditi Sen"/>
    <s v="Consumer"/>
    <x v="1"/>
    <x v="1"/>
    <s v="Bhubaneswar"/>
    <x v="1"/>
    <s v="Bookcases"/>
    <s v="Basic Bookcases 405"/>
    <x v="0"/>
    <n v="5"/>
    <n v="1021.28"/>
    <n v="0.1"/>
    <n v="4595.76"/>
    <n v="3396.8"/>
    <n v="1198.96"/>
    <x v="1"/>
    <s v="Cancelled"/>
  </r>
  <r>
    <x v="218"/>
    <x v="178"/>
    <d v="2025-02-27T00:00:00"/>
    <n v="1"/>
    <s v="CUST-8270"/>
    <s v="Priya Menon"/>
    <s v="Corporate"/>
    <x v="3"/>
    <x v="12"/>
    <s v="Ahmedabad"/>
    <x v="1"/>
    <s v="Bookcases"/>
    <s v="Classic Bookcases 139"/>
    <x v="3"/>
    <n v="5"/>
    <n v="258.27999999999997"/>
    <n v="0"/>
    <n v="1291.4000000000001"/>
    <n v="756.93"/>
    <n v="534.47"/>
    <x v="0"/>
    <s v="Completed"/>
  </r>
  <r>
    <x v="219"/>
    <x v="179"/>
    <d v="2024-06-19T00:00:00"/>
    <n v="1"/>
    <s v="CUST-1472"/>
    <s v="Rahul Verma"/>
    <s v="Consumer"/>
    <x v="1"/>
    <x v="9"/>
    <s v="Patna"/>
    <x v="2"/>
    <s v="Machines"/>
    <s v="Elite Machines 290"/>
    <x v="2"/>
    <n v="2"/>
    <n v="121.49"/>
    <s v="85%"/>
    <n v="242.98"/>
    <n v="161.41999999999999"/>
    <n v="81.56"/>
    <x v="0"/>
    <s v="Completed"/>
  </r>
  <r>
    <x v="220"/>
    <x v="136"/>
    <d v="2024-09-03T00:00:00"/>
    <n v="0"/>
    <s v="CUST-1031"/>
    <s v="Sneha Kapoor"/>
    <s v="Consumer"/>
    <x v="2"/>
    <x v="13"/>
    <s v="Kochi"/>
    <x v="0"/>
    <s v="Storage"/>
    <s v="Elite Storage 925"/>
    <x v="2"/>
    <n v="4"/>
    <n v="2810.17"/>
    <n v="0.15"/>
    <n v="9554.58"/>
    <n v="6068.47"/>
    <n v="3486.11"/>
    <x v="1"/>
    <s v="Cancelled"/>
  </r>
  <r>
    <x v="221"/>
    <x v="180"/>
    <d v="2025-01-15T00:00:00"/>
    <n v="-320"/>
    <s v="CUST-2495"/>
    <s v="Mira Das"/>
    <s v="Corporate"/>
    <x v="2"/>
    <x v="11"/>
    <s v="Bengaluru"/>
    <x v="1"/>
    <s v="Chairs"/>
    <s v="Classic Chairs 231"/>
    <x v="1"/>
    <n v="4"/>
    <n v="1531.53"/>
    <n v="0.2"/>
    <n v="4900.8999999999996"/>
    <n v="3552.69"/>
    <n v="1348.21"/>
    <x v="0"/>
    <s v="Completed"/>
  </r>
  <r>
    <x v="222"/>
    <x v="181"/>
    <d v="2025-02-05T00:00:00"/>
    <n v="-83"/>
    <s v="CUST-4583"/>
    <s v="Vikram Iyer"/>
    <s v="Small Business"/>
    <x v="3"/>
    <x v="14"/>
    <s v="Panaji"/>
    <x v="0"/>
    <s v="Storage"/>
    <s v="Prime Storage 818"/>
    <x v="2"/>
    <n v="6"/>
    <n v="4308.09"/>
    <n v="0"/>
    <n v="25848.54"/>
    <n v="17729.09"/>
    <n v="8119.45"/>
    <x v="0"/>
    <s v="Completed"/>
  </r>
  <r>
    <x v="223"/>
    <x v="182"/>
    <d v="2025-02-26T00:00:00"/>
    <n v="7"/>
    <s v="CUST-5319"/>
    <s v="Mira Das"/>
    <s v="Corporate"/>
    <x v="3"/>
    <x v="3"/>
    <s v="Mumbai"/>
    <x v="1"/>
    <s v="Furnishings"/>
    <s v="Elite Furnishings 449"/>
    <x v="2"/>
    <n v="3"/>
    <n v="490.3"/>
    <n v="0.2"/>
    <n v="1176.72"/>
    <n v="654.33000000000004"/>
    <n v="522.39"/>
    <x v="2"/>
    <s v="Returned"/>
  </r>
  <r>
    <x v="224"/>
    <x v="183"/>
    <d v="2025-08-10T00:00:00"/>
    <n v="-53"/>
    <s v="CUST-9871"/>
    <s v="Isha Nair"/>
    <s v="Small Business"/>
    <x v="0"/>
    <x v="7"/>
    <s v="Ludhiana"/>
    <x v="1"/>
    <s v="Furnishings"/>
    <s v="Classic Furnishings 109"/>
    <x v="3"/>
    <n v="4"/>
    <n v="3944.64"/>
    <n v="0.25"/>
    <n v="11833.92"/>
    <n v="6682.92"/>
    <n v="5151"/>
    <x v="0"/>
    <s v="Cancelled"/>
  </r>
  <r>
    <x v="225"/>
    <x v="184"/>
    <d v="2024-10-09T00:00:00"/>
    <n v="243"/>
    <s v="CUST-1266"/>
    <s v="Mira Das"/>
    <s v="Corporate"/>
    <x v="3"/>
    <x v="14"/>
    <s v="Panaji"/>
    <x v="2"/>
    <s v="Phones"/>
    <s v="Classic Phones 548"/>
    <x v="3"/>
    <n v="6"/>
    <n v="1032.47"/>
    <n v="0.15"/>
    <n v="5265.6"/>
    <n v="4293.1099999999997"/>
    <n v="787.57"/>
    <x v="0"/>
    <s v="Completed"/>
  </r>
  <r>
    <x v="226"/>
    <x v="185"/>
    <d v="2025-04-15T00:00:00"/>
    <n v="-172"/>
    <s v="CUST-2545"/>
    <s v="Diya Patel"/>
    <s v="Home Office"/>
    <x v="4"/>
    <x v="13"/>
    <s v="Kochi"/>
    <x v="2"/>
    <s v="Copiers"/>
    <s v="Max Copiers 363"/>
    <x v="1"/>
    <n v="1"/>
    <n v="2208.27"/>
    <n v="0.1"/>
    <n v="1987.44"/>
    <n v="1110.23"/>
    <n v="877.21"/>
    <x v="0"/>
    <s v="Completed"/>
  </r>
  <r>
    <x v="227"/>
    <x v="186"/>
    <d v="2024-12-07T00:00:00"/>
    <n v="214"/>
    <s v="CUST-2819"/>
    <s v="Ananya Rao"/>
    <s v="Small Business"/>
    <x v="3"/>
    <x v="14"/>
    <s v="Panaji"/>
    <x v="0"/>
    <s v="Binders"/>
    <s v="Prime Binders 507"/>
    <x v="2"/>
    <n v="3"/>
    <n v="577.75"/>
    <n v="0.15"/>
    <n v="1473.26"/>
    <n v="899.86"/>
    <n v="573.4"/>
    <x v="0"/>
    <s v="Completed"/>
  </r>
  <r>
    <x v="228"/>
    <x v="48"/>
    <d v="2024-04-28T00:00:00"/>
    <n v="4"/>
    <s v="CUST-1076"/>
    <s v="Karan Malhotra"/>
    <s v="Small Business"/>
    <x v="2"/>
    <x v="2"/>
    <s v="Hyderabad"/>
    <x v="0"/>
    <s v="Labels"/>
    <s v="Smart Labels 914"/>
    <x v="0"/>
    <n v="1"/>
    <n v="3194.37"/>
    <n v="0.15"/>
    <n v="2715.21"/>
    <n v="1551.55"/>
    <n v="1163.6600000000001"/>
    <x v="0"/>
    <s v="Completed"/>
  </r>
  <r>
    <x v="229"/>
    <x v="187"/>
    <d v="2025-07-04T00:00:00"/>
    <n v="6"/>
    <s v="CUST-1943"/>
    <s v="Rohan Mehta"/>
    <s v="Consumer"/>
    <x v="2"/>
    <x v="2"/>
    <s v="Hyderabad"/>
    <x v="1"/>
    <s v="Bookcases"/>
    <s v="Smart Bookcases 662"/>
    <x v="2"/>
    <n v="3"/>
    <n v="2886.23"/>
    <n v="0"/>
    <n v="8658.69"/>
    <n v="5535.94"/>
    <n v="3122.75"/>
    <x v="1"/>
    <s v="Returned"/>
  </r>
  <r>
    <x v="230"/>
    <x v="188"/>
    <d v="2024-03-06T00:00:00"/>
    <n v="-83"/>
    <s v="CUST-3434"/>
    <s v="Neha Gupta"/>
    <s v="Small Business"/>
    <x v="0"/>
    <x v="0"/>
    <s v="Jaipur"/>
    <x v="0"/>
    <s v="Paper"/>
    <s v="Eco Paper 937"/>
    <x v="3"/>
    <n v="8"/>
    <n v="1540.33"/>
    <n v="0.1"/>
    <n v="11090.38"/>
    <n v="8840.9500000000007"/>
    <n v="2249.4299999999998"/>
    <x v="0"/>
    <s v="Completed"/>
  </r>
  <r>
    <x v="231"/>
    <x v="144"/>
    <d v="2024-05-02T00:00:00"/>
    <n v="87"/>
    <s v="CUST-9139"/>
    <s v="Ananya Rao"/>
    <s v="Corporate"/>
    <x v="0"/>
    <x v="0"/>
    <s v="Jaipur"/>
    <x v="3"/>
    <s v="Labels"/>
    <s v="Max Labels 370"/>
    <x v="2"/>
    <n v="7"/>
    <n v="2183.38"/>
    <n v="0.25"/>
    <n v="11462.74"/>
    <n v="7163.54"/>
    <n v="4299.2"/>
    <x v="1"/>
    <s v="Cancelled"/>
  </r>
  <r>
    <x v="232"/>
    <x v="189"/>
    <d v="2025-10-06T00:00:00"/>
    <n v="183"/>
    <s v="CUST-5341"/>
    <s v="Rahul Verma"/>
    <s v="Consumer"/>
    <x v="2"/>
    <x v="5"/>
    <s v="Vijayawada"/>
    <x v="2"/>
    <s v="Phones"/>
    <s v="Classic Phones 530"/>
    <x v="3"/>
    <n v="4"/>
    <n v="223.37"/>
    <n v="0.25"/>
    <n v="670.11"/>
    <n v="559.57000000000005"/>
    <n v="110.54"/>
    <x v="0"/>
    <s v="Completed"/>
  </r>
  <r>
    <x v="233"/>
    <x v="190"/>
    <d v="2024-10-14T00:00:00"/>
    <n v="0"/>
    <s v="CUST-3710"/>
    <s v="Vikram Iyer"/>
    <s v="Corporate"/>
    <x v="2"/>
    <x v="11"/>
    <s v="Bengaluru"/>
    <x v="1"/>
    <s v="Bookcases"/>
    <s v="Smart Bookcases 328"/>
    <x v="4"/>
    <n v="8"/>
    <n v="3904.59"/>
    <n v="0"/>
    <n v="31236.720000000001"/>
    <n v="26377.7"/>
    <n v="4859.0200000000004"/>
    <x v="0"/>
    <s v="Completed"/>
  </r>
  <r>
    <x v="234"/>
    <x v="28"/>
    <d v="2024-03-09T00:00:00"/>
    <n v="-177"/>
    <s v="CUST-9754"/>
    <s v="Kabir Singh"/>
    <s v="Home Office"/>
    <x v="0"/>
    <x v="18"/>
    <s v="New Delhi"/>
    <x v="1"/>
    <s v="Furnishings"/>
    <s v="Eco Furnishings 981"/>
    <x v="2"/>
    <n v="9"/>
    <n v="1353.61"/>
    <n v="0.1"/>
    <n v="10964.24"/>
    <n v="9262.4699999999993"/>
    <n v="1701.77"/>
    <x v="0"/>
    <s v="Completed"/>
  </r>
  <r>
    <x v="235"/>
    <x v="68"/>
    <d v="2024-11-03T00:00:00"/>
    <n v="1"/>
    <s v="CUST-6256"/>
    <s v="Rahul Verma"/>
    <s v="Small Business"/>
    <x v="3"/>
    <x v="0"/>
    <s v="Udaipur"/>
    <x v="0"/>
    <s v="Storage"/>
    <s v="Basic Storage 195"/>
    <x v="3"/>
    <n v="6"/>
    <n v="2671.29"/>
    <n v="0.05"/>
    <n v="15226.35"/>
    <n v="11145.28"/>
    <n v="4081.07"/>
    <x v="0"/>
    <s v="Completed"/>
  </r>
  <r>
    <x v="236"/>
    <x v="190"/>
    <d v="2024-10-21T00:00:00"/>
    <n v="7"/>
    <s v="CUST-7113"/>
    <s v="Priya Menon"/>
    <s v="Corporate"/>
    <x v="0"/>
    <x v="8"/>
    <s v="Noida"/>
    <x v="1"/>
    <s v="Bookcases"/>
    <s v="Elite Bookcases 907"/>
    <x v="2"/>
    <n v="6"/>
    <n v="4062.78"/>
    <n v="0"/>
    <n v="24376.68"/>
    <n v="18533.39"/>
    <n v="5843.29"/>
    <x v="0"/>
    <s v="Completed"/>
  </r>
  <r>
    <x v="237"/>
    <x v="191"/>
    <d v="2024-08-27T00:00:00"/>
    <n v="0"/>
    <s v="CUST-3827"/>
    <s v="Mira Das"/>
    <s v="Consumer"/>
    <x v="0"/>
    <x v="16"/>
    <s v="Gurugram"/>
    <x v="2"/>
    <s v="Copiers"/>
    <s v="Smart Copiers 471"/>
    <x v="3"/>
    <n v="9"/>
    <n v="2330.3000000000002"/>
    <n v="0"/>
    <n v="20972.7"/>
    <n v="13504.88"/>
    <n v="7467.82"/>
    <x v="0"/>
    <s v="Completed"/>
  </r>
  <r>
    <x v="238"/>
    <x v="192"/>
    <d v="2024-01-17T00:00:00"/>
    <n v="5"/>
    <s v="CUST-2375"/>
    <s v="Arjun Bose"/>
    <s v="Consumer"/>
    <x v="2"/>
    <x v="5"/>
    <s v="Vijayawada"/>
    <x v="0"/>
    <s v="Storage"/>
    <s v="Prime Storage 625"/>
    <x v="2"/>
    <n v="7"/>
    <n v="4005.05"/>
    <n v="0.55000000000000004"/>
    <n v="26633.58"/>
    <n v="18838.75"/>
    <n v="7794.83"/>
    <x v="0"/>
    <s v="Completed"/>
  </r>
  <r>
    <x v="239"/>
    <x v="173"/>
    <d v="2024-09-21T00:00:00"/>
    <n v="0"/>
    <s v="CUST-2233"/>
    <s v="Kabir Singh"/>
    <s v="Corporate"/>
    <x v="2"/>
    <x v="11"/>
    <s v="Bengaluru"/>
    <x v="2"/>
    <s v="Machines"/>
    <s v="Smart Machines 801"/>
    <x v="2"/>
    <n v="2"/>
    <n v="1960.06"/>
    <n v="0.2"/>
    <n v="3136.1"/>
    <n v="2279.4899999999998"/>
    <n v="856.61"/>
    <x v="0"/>
    <s v="Completed"/>
  </r>
  <r>
    <x v="240"/>
    <x v="193"/>
    <d v="2024-12-23T00:00:00"/>
    <n v="6"/>
    <s v="CUST-9778"/>
    <s v="Aarav Sharma"/>
    <s v="Corporate"/>
    <x v="2"/>
    <x v="2"/>
    <s v="Hyderabad"/>
    <x v="0"/>
    <s v="Binders"/>
    <s v="Max Binders 170"/>
    <x v="2"/>
    <n v="9"/>
    <n v="2315.1"/>
    <n v="0"/>
    <n v="20835.900000000001"/>
    <n v="13928.19"/>
    <n v="6907.71"/>
    <x v="0"/>
    <s v="Completed"/>
  </r>
  <r>
    <x v="241"/>
    <x v="194"/>
    <d v="2025-06-07T00:00:00"/>
    <n v="-29"/>
    <s v="CUST-6949"/>
    <s v="Sneha Kapoor"/>
    <s v="Corporate"/>
    <x v="0"/>
    <x v="16"/>
    <s v="Gurugram"/>
    <x v="0"/>
    <s v="Storage"/>
    <s v="Basic Storage 737"/>
    <x v="3"/>
    <n v="1"/>
    <n v="1617.2"/>
    <n v="0.25"/>
    <n v="1212.9000000000001"/>
    <n v="690.52"/>
    <n v="522.38"/>
    <x v="2"/>
    <s v="Returned"/>
  </r>
  <r>
    <x v="242"/>
    <x v="195"/>
    <d v="2025-07-02T00:00:00"/>
    <n v="0"/>
    <s v="CUST-3430"/>
    <s v="Arjun Bose"/>
    <s v="Consumer"/>
    <x v="0"/>
    <x v="8"/>
    <s v="Noida"/>
    <x v="0"/>
    <s v="Art"/>
    <s v="Classic Art 126"/>
    <x v="0"/>
    <n v="3"/>
    <n v="1999.24"/>
    <n v="0.05"/>
    <n v="5697.83"/>
    <n v="4251.5"/>
    <n v="1446.33"/>
    <x v="0"/>
    <s v="Completed"/>
  </r>
  <r>
    <x v="243"/>
    <x v="34"/>
    <d v="2025-02-08T00:00:00"/>
    <n v="-171"/>
    <s v="CUST-6310"/>
    <s v="Sneha Kapoor"/>
    <s v="Small Business"/>
    <x v="4"/>
    <x v="4"/>
    <s v="Indore"/>
    <x v="2"/>
    <s v="Accessories"/>
    <s v="Prime Accessories 243"/>
    <x v="2"/>
    <n v="1"/>
    <n v="4499.46"/>
    <n v="0.1"/>
    <n v="4049.51"/>
    <n v="2509.1999999999998"/>
    <n v="1540.31"/>
    <x v="0"/>
    <s v="Completed"/>
  </r>
  <r>
    <x v="244"/>
    <x v="196"/>
    <d v="2024-08-24T00:00:00"/>
    <n v="1"/>
    <s v="CUST-6008"/>
    <s v="Neha Gupta"/>
    <s v="Consumer"/>
    <x v="2"/>
    <x v="2"/>
    <s v="Hyderabad"/>
    <x v="1"/>
    <s v="Bookcases"/>
    <s v="Eco Bookcases 768"/>
    <x v="1"/>
    <n v="6"/>
    <n v="1021.89"/>
    <n v="0"/>
    <n v="6131.34"/>
    <n v="4060.88"/>
    <n v="2070.46"/>
    <x v="0"/>
    <s v="Completed"/>
  </r>
  <r>
    <x v="245"/>
    <x v="101"/>
    <d v="2024-10-24T00:00:00"/>
    <n v="6"/>
    <s v="CUST-1704"/>
    <s v="Neha Gupta"/>
    <s v="Home Office"/>
    <x v="2"/>
    <x v="13"/>
    <s v="Kochi"/>
    <x v="1"/>
    <s v="Chairs"/>
    <s v="Pro Chairs 316"/>
    <x v="0"/>
    <n v="3"/>
    <n v="3275.93"/>
    <n v="0"/>
    <n v="9827.7900000000009"/>
    <n v="5478.28"/>
    <n v="4349.51"/>
    <x v="0"/>
    <s v="Completed"/>
  </r>
  <r>
    <x v="246"/>
    <x v="197"/>
    <d v="2024-09-05T00:00:00"/>
    <n v="153"/>
    <s v="CUST-1827"/>
    <s v="Ananya Rao"/>
    <s v="Corporate"/>
    <x v="0"/>
    <x v="7"/>
    <s v="Ludhiana"/>
    <x v="2"/>
    <s v="Machines"/>
    <s v="Classic Machines 819"/>
    <x v="1"/>
    <n v="3"/>
    <n v="231.95"/>
    <n v="0.25"/>
    <n v="521.89"/>
    <n v="444.52"/>
    <n v="77.37"/>
    <x v="1"/>
    <s v="Cancelled"/>
  </r>
  <r>
    <x v="247"/>
    <x v="198"/>
    <d v="2024-01-08T00:00:00"/>
    <n v="-199"/>
    <s v="CUST-6663"/>
    <s v="Rahul Verma"/>
    <s v="Corporate"/>
    <x v="0"/>
    <x v="0"/>
    <s v="Jaipur"/>
    <x v="2"/>
    <s v="Accessories"/>
    <s v="Smart Accessories 572"/>
    <x v="0"/>
    <n v="8"/>
    <n v="2493.4"/>
    <n v="0.25"/>
    <n v="14960.4"/>
    <n v="12500.84"/>
    <n v="2459.56"/>
    <x v="0"/>
    <s v="Completed"/>
  </r>
  <r>
    <x v="248"/>
    <x v="199"/>
    <d v="2024-07-06T00:00:00"/>
    <n v="34"/>
    <s v="CUST-6278"/>
    <s v="Rohan Mehta"/>
    <s v="Home Office"/>
    <x v="1"/>
    <x v="1"/>
    <s v="Bhubaneswar"/>
    <x v="0"/>
    <s v="Labels"/>
    <s v="Basic Labels 432"/>
    <x v="0"/>
    <n v="9"/>
    <n v="787.91"/>
    <n v="0.15"/>
    <n v="6027.51"/>
    <n v="4883.82"/>
    <n v="1143.69"/>
    <x v="0"/>
    <s v="Completed"/>
  </r>
  <r>
    <x v="249"/>
    <x v="200"/>
    <d v="2025-08-02T00:00:00"/>
    <n v="1"/>
    <s v="CUST-2305"/>
    <s v="Mira Das"/>
    <s v="Corporate"/>
    <x v="0"/>
    <x v="0"/>
    <s v="Jaipur"/>
    <x v="1"/>
    <s v="Furnishings"/>
    <s v="Classic Furnishings 378"/>
    <x v="2"/>
    <n v="4"/>
    <n v="2790.29"/>
    <n v="0.2"/>
    <n v="8928.93"/>
    <n v="5634.38"/>
    <n v="3294.55"/>
    <x v="0"/>
    <s v="Completed"/>
  </r>
  <r>
    <x v="250"/>
    <x v="201"/>
    <d v="2024-02-27T00:00:00"/>
    <n v="6"/>
    <s v="CUST-5351"/>
    <s v="Arjun Bose"/>
    <s v="Small Business"/>
    <x v="1"/>
    <x v="6"/>
    <s v="Kolkata"/>
    <x v="1"/>
    <s v="Furnishings"/>
    <s v="Prime Furnishings 781"/>
    <x v="3"/>
    <n v="5"/>
    <n v="3373.86"/>
    <n v="0.15"/>
    <n v="14338.9"/>
    <n v="11897.65"/>
    <n v="2441.25"/>
    <x v="2"/>
    <s v="Returned"/>
  </r>
  <r>
    <x v="251"/>
    <x v="202"/>
    <d v="2025-04-10T00:00:00"/>
    <n v="-55"/>
    <s v="CUST-6268"/>
    <s v="Ananya Rao"/>
    <s v="Corporate"/>
    <x v="3"/>
    <x v="12"/>
    <s v="Ahmedabad"/>
    <x v="1"/>
    <s v="Tables"/>
    <s v="Prime Tables 263"/>
    <x v="0"/>
    <n v="6"/>
    <n v="1022.16"/>
    <n v="0"/>
    <n v="6132.96"/>
    <n v="4881.1000000000004"/>
    <n v="1251.8599999999999"/>
    <x v="0"/>
    <s v="Completed"/>
  </r>
  <r>
    <x v="252"/>
    <x v="203"/>
    <d v="2025-06-28T00:00:00"/>
    <n v="3"/>
    <s v="CUST-2103"/>
    <s v="Arjun Bose"/>
    <s v="Corporate"/>
    <x v="0"/>
    <x v="16"/>
    <s v="Gurugram"/>
    <x v="0"/>
    <s v="Storage"/>
    <s v="Basic Storage 269"/>
    <x v="2"/>
    <n v="2"/>
    <n v="1455.92"/>
    <n v="0.2"/>
    <n v="2329.4699999999998"/>
    <n v="1603.62"/>
    <n v="725.85"/>
    <x v="2"/>
    <s v="Returned"/>
  </r>
  <r>
    <x v="253"/>
    <x v="204"/>
    <d v="2024-09-13T00:00:00"/>
    <n v="-87"/>
    <s v="CUST-5394"/>
    <s v="Priya Menon"/>
    <s v="Small Business"/>
    <x v="0"/>
    <x v="0"/>
    <s v="Jaipur"/>
    <x v="2"/>
    <s v="Phones"/>
    <s v="Classic Phones 442"/>
    <x v="1"/>
    <n v="6"/>
    <n v="832.79"/>
    <n v="0.05"/>
    <n v="4746.8999999999996"/>
    <n v="2825.38"/>
    <n v="1472.89"/>
    <x v="1"/>
    <s v="Cancelled"/>
  </r>
  <r>
    <x v="254"/>
    <x v="205"/>
    <d v="2025-03-01T00:00:00"/>
    <n v="59"/>
    <s v="CUST-6853"/>
    <s v="Ananya Rao"/>
    <s v="Consumer"/>
    <x v="3"/>
    <x v="4"/>
    <s v="Indore"/>
    <x v="2"/>
    <s v="Accessories"/>
    <s v="Elite Accessories 978"/>
    <x v="1"/>
    <n v="7"/>
    <n v="1000.55"/>
    <n v="0.2"/>
    <n v="5603.08"/>
    <n v="3132.52"/>
    <n v="2470.56"/>
    <x v="0"/>
    <s v="Returned"/>
  </r>
  <r>
    <x v="255"/>
    <x v="206"/>
    <d v="2025-02-10T00:00:00"/>
    <n v="-51"/>
    <s v="CUST-1549"/>
    <s v="Isha Nair"/>
    <s v="Corporate"/>
    <x v="3"/>
    <x v="3"/>
    <s v="Mumbai"/>
    <x v="2"/>
    <s v="Phones"/>
    <s v="Eco Phones 132"/>
    <x v="2"/>
    <n v="7"/>
    <n v="1830"/>
    <n v="0"/>
    <n v="12810"/>
    <n v="9334.1200000000008"/>
    <n v="3475.88"/>
    <x v="0"/>
    <s v="Completed"/>
  </r>
  <r>
    <x v="256"/>
    <x v="207"/>
    <d v="2024-03-11T00:00:00"/>
    <n v="-61"/>
    <s v="CUST-8411"/>
    <s v="Ananya Rao"/>
    <s v="Consumer"/>
    <x v="1"/>
    <x v="6"/>
    <s v="Kolkata"/>
    <x v="1"/>
    <s v="Tables"/>
    <s v="Prime Tables 481"/>
    <x v="2"/>
    <n v="9"/>
    <n v="2260.61"/>
    <n v="0.05"/>
    <n v="19328.22"/>
    <n v="12039.5"/>
    <n v="7288.72"/>
    <x v="0"/>
    <s v="Completed"/>
  </r>
  <r>
    <x v="257"/>
    <x v="208"/>
    <d v="2025-12-08T00:00:00"/>
    <n v="91"/>
    <s v="CUST-5615"/>
    <s v="Diya Patel"/>
    <s v="Corporate"/>
    <x v="2"/>
    <x v="11"/>
    <s v="Bengaluru"/>
    <x v="2"/>
    <s v="Accessories"/>
    <s v="Smart Accessories 180"/>
    <x v="0"/>
    <n v="2"/>
    <n v="3237.27"/>
    <n v="0"/>
    <n v="6474.54"/>
    <n v="5095.91"/>
    <n v="1378.63"/>
    <x v="0"/>
    <s v="Cancelled"/>
  </r>
  <r>
    <x v="258"/>
    <x v="209"/>
    <d v="2025-04-01T00:00:00"/>
    <n v="92"/>
    <s v="CUST-8467"/>
    <s v="Sneha Kapoor"/>
    <s v="Corporate"/>
    <x v="2"/>
    <x v="17"/>
    <s v="Chennai"/>
    <x v="1"/>
    <s v="Tables"/>
    <s v="Smart Tables 774"/>
    <x v="1"/>
    <n v="2"/>
    <n v="3720.07"/>
    <n v="0.25"/>
    <n v="5580.11"/>
    <n v="4307.01"/>
    <n v="1273.0999999999999"/>
    <x v="0"/>
    <s v="Completed"/>
  </r>
  <r>
    <x v="259"/>
    <x v="210"/>
    <d v="2024-06-29T00:00:00"/>
    <n v="8"/>
    <s v="CUST-5174"/>
    <s v="Neha Gupta"/>
    <s v="Consumer"/>
    <x v="2"/>
    <x v="17"/>
    <s v="Chennai"/>
    <x v="2"/>
    <s v="Machines"/>
    <s v="Prime Machines 793"/>
    <x v="3"/>
    <n v="8"/>
    <n v="2853.92"/>
    <n v="0.2"/>
    <n v="18265.09"/>
    <n v="10437.14"/>
    <n v="7827.95"/>
    <x v="0"/>
    <s v="Completed"/>
  </r>
  <r>
    <x v="260"/>
    <x v="129"/>
    <d v="2025-09-27T00:00:00"/>
    <n v="4"/>
    <s v="CUST-3543"/>
    <s v="Aditi Sen"/>
    <s v="Corporate"/>
    <x v="1"/>
    <x v="6"/>
    <s v="Kolkata"/>
    <x v="0"/>
    <s v="Binders"/>
    <s v="Elite Binders 827"/>
    <x v="1"/>
    <n v="7"/>
    <n v="2897.12"/>
    <n v="0.25"/>
    <n v="15209.88"/>
    <n v="10891.15"/>
    <n v="4318.7299999999996"/>
    <x v="3"/>
    <s v="Returned"/>
  </r>
  <r>
    <x v="261"/>
    <x v="211"/>
    <d v="2025-06-24T00:00:00"/>
    <n v="6"/>
    <s v="CUST-7623"/>
    <s v="Sneha Kapoor"/>
    <s v="Corporate"/>
    <x v="0"/>
    <x v="0"/>
    <s v="Jaipur"/>
    <x v="0"/>
    <s v="Labels"/>
    <s v="Prime Labels 326"/>
    <x v="3"/>
    <n v="3"/>
    <n v="686.74"/>
    <n v="0.2"/>
    <n v="1648.18"/>
    <n v="987.91"/>
    <n v="660.27"/>
    <x v="3"/>
    <s v="Cancelled"/>
  </r>
  <r>
    <x v="262"/>
    <x v="212"/>
    <d v="2025-01-06T00:00:00"/>
    <n v="-140"/>
    <s v="CUST-6153"/>
    <s v="Arjun Bose"/>
    <s v="Small Business"/>
    <x v="0"/>
    <x v="18"/>
    <s v="New Delhi"/>
    <x v="2"/>
    <s v="Phones"/>
    <s v="Eco Phones 245"/>
    <x v="1"/>
    <n v="4"/>
    <n v="3349.86"/>
    <n v="0"/>
    <n v="13399.44"/>
    <n v="8581.35"/>
    <n v="4818.09"/>
    <x v="2"/>
    <s v="Returned"/>
  </r>
  <r>
    <x v="263"/>
    <x v="213"/>
    <d v="2025-10-08T00:00:00"/>
    <n v="122"/>
    <s v="CUST-8265"/>
    <s v="Rohan Mehta"/>
    <s v="Small Business"/>
    <x v="0"/>
    <x v="18"/>
    <s v="New Delhi"/>
    <x v="0"/>
    <s v="Binders"/>
    <s v="Smart Binders 905"/>
    <x v="0"/>
    <n v="9"/>
    <n v="4042.45"/>
    <n v="0.1"/>
    <n v="32743.84"/>
    <n v="22452.05"/>
    <n v="10291.790000000001"/>
    <x v="2"/>
    <s v="Returned"/>
  </r>
  <r>
    <x v="264"/>
    <x v="172"/>
    <d v="2024-05-21T00:00:00"/>
    <n v="5"/>
    <s v="CUST-4750"/>
    <s v="Diya Patel"/>
    <s v="Small Business"/>
    <x v="1"/>
    <x v="9"/>
    <s v="Patna"/>
    <x v="2"/>
    <s v="Copiers"/>
    <s v="Pro Copiers 599"/>
    <x v="3"/>
    <n v="4"/>
    <n v="1503.07"/>
    <n v="0"/>
    <n v="6012.28"/>
    <n v="3927.64"/>
    <n v="2084.64"/>
    <x v="0"/>
    <s v="Completed"/>
  </r>
  <r>
    <x v="265"/>
    <x v="214"/>
    <d v="2024-11-22T00:00:00"/>
    <n v="8"/>
    <s v="CUST-3974"/>
    <s v="Priya Menon"/>
    <s v="Corporate"/>
    <x v="1"/>
    <x v="9"/>
    <s v="Patna"/>
    <x v="1"/>
    <s v="Bookcases"/>
    <s v="Basic Bookcases 570"/>
    <x v="1"/>
    <n v="1"/>
    <n v="582.37"/>
    <n v="0.15"/>
    <n v="495.01"/>
    <n v="285.13"/>
    <n v="209.88"/>
    <x v="1"/>
    <s v="Cancelled"/>
  </r>
  <r>
    <x v="266"/>
    <x v="215"/>
    <d v="2025-10-05T00:00:00"/>
    <n v="214"/>
    <s v="CUST-7114"/>
    <s v="Neha Gupta"/>
    <s v="Home Office"/>
    <x v="3"/>
    <x v="3"/>
    <s v="Mumbai"/>
    <x v="0"/>
    <s v="Storage"/>
    <s v="Classic Storage 926"/>
    <x v="0"/>
    <n v="3"/>
    <n v="4339.24"/>
    <n v="0"/>
    <n v="13017.72"/>
    <n v="10170.57"/>
    <n v="2847.15"/>
    <x v="0"/>
    <s v="Completed"/>
  </r>
  <r>
    <x v="267"/>
    <x v="216"/>
    <d v="2025-04-06T00:00:00"/>
    <n v="-52"/>
    <s v="CUST-4431"/>
    <s v="Diya Patel"/>
    <s v="Corporate"/>
    <x v="1"/>
    <x v="15"/>
    <s v="Ranchi"/>
    <x v="1"/>
    <s v="Furnishings"/>
    <s v="Basic Furnishings 372"/>
    <x v="2"/>
    <n v="4"/>
    <n v="261.8"/>
    <n v="0.25"/>
    <n v="785.4"/>
    <n v="557.22"/>
    <n v="228.18"/>
    <x v="0"/>
    <s v="Completed"/>
  </r>
  <r>
    <x v="268"/>
    <x v="217"/>
    <d v="2025-08-17T00:00:00"/>
    <n v="0"/>
    <s v="CUST-1488"/>
    <s v="Aarav Sharma"/>
    <s v="Home Office"/>
    <x v="0"/>
    <x v="7"/>
    <s v="Ludhiana"/>
    <x v="2"/>
    <s v="Accessories"/>
    <s v="Prime Accessories 367"/>
    <x v="2"/>
    <n v="7"/>
    <n v="632.20000000000005"/>
    <n v="0.25"/>
    <n v="3319.05"/>
    <n v="2124.6"/>
    <n v="1194.45"/>
    <x v="0"/>
    <s v="Completed"/>
  </r>
  <r>
    <x v="269"/>
    <x v="218"/>
    <d v="2025-02-12T00:00:00"/>
    <n v="2"/>
    <s v="CUST-1586"/>
    <s v="Rahul Verma"/>
    <s v="Small Business"/>
    <x v="3"/>
    <x v="0"/>
    <s v="Udaipur"/>
    <x v="1"/>
    <s v="Tables"/>
    <s v="Max Tables 526"/>
    <x v="1"/>
    <n v="1"/>
    <n v="1925.86"/>
    <n v="0"/>
    <n v="1925.86"/>
    <n v="1321.89"/>
    <n v="603.97"/>
    <x v="0"/>
    <s v="Completed"/>
  </r>
  <r>
    <x v="270"/>
    <x v="192"/>
    <d v="2024-01-13T00:00:00"/>
    <n v="1"/>
    <s v="CUST-2487"/>
    <s v="Aditi Sen"/>
    <s v="Corporate"/>
    <x v="0"/>
    <x v="8"/>
    <s v="Noida"/>
    <x v="2"/>
    <s v="Machines"/>
    <s v="Prime Machines 794"/>
    <x v="1"/>
    <n v="3"/>
    <n v="827.44"/>
    <n v="0"/>
    <n v="2482.3200000000002"/>
    <n v="1520.21"/>
    <n v="962.11"/>
    <x v="0"/>
    <s v="Completed"/>
  </r>
  <r>
    <x v="271"/>
    <x v="219"/>
    <d v="2024-12-25T00:00:00"/>
    <n v="4"/>
    <s v="CUST-8009"/>
    <s v="Aditi Sen"/>
    <s v="Consumer"/>
    <x v="2"/>
    <x v="2"/>
    <s v="Hyderabad"/>
    <x v="0"/>
    <s v="Binders"/>
    <s v="Max Binders 927"/>
    <x v="3"/>
    <n v="7"/>
    <n v="1667.75"/>
    <n v="0"/>
    <n v="11674.25"/>
    <n v="9621.19"/>
    <n v="2053.06"/>
    <x v="3"/>
    <s v="Cancelled"/>
  </r>
  <r>
    <x v="272"/>
    <x v="220"/>
    <d v="2024-08-24T00:00:00"/>
    <n v="6"/>
    <s v="CUST-7389"/>
    <s v="Arjun Bose"/>
    <s v="Consumer"/>
    <x v="2"/>
    <x v="5"/>
    <s v="Vijayawada"/>
    <x v="1"/>
    <s v="Chairs"/>
    <s v="Eco Chairs 314"/>
    <x v="2"/>
    <n v="7"/>
    <n v="557.21"/>
    <n v="0.1"/>
    <n v="3510.42"/>
    <n v="2191.5"/>
    <n v="1213.48"/>
    <x v="0"/>
    <s v="Completed"/>
  </r>
  <r>
    <x v="273"/>
    <x v="221"/>
    <d v="2025-02-13T00:00:00"/>
    <n v="0"/>
    <s v="CUST-8249"/>
    <s v="Isha Nair"/>
    <s v="Consumer"/>
    <x v="1"/>
    <x v="9"/>
    <s v="Patna"/>
    <x v="0"/>
    <s v="Paper"/>
    <s v="Basic Paper 657"/>
    <x v="0"/>
    <n v="9"/>
    <n v="2521.63"/>
    <n v="0"/>
    <n v="22694.67"/>
    <n v="15405.36"/>
    <n v="7289.31"/>
    <x v="0"/>
    <s v="Returned"/>
  </r>
  <r>
    <x v="274"/>
    <x v="222"/>
    <d v="2024-04-14T00:00:00"/>
    <n v="-81"/>
    <s v="CUST-4202"/>
    <s v="Rohan Mehta"/>
    <s v="Consumer"/>
    <x v="2"/>
    <x v="13"/>
    <s v="Kochi"/>
    <x v="2"/>
    <s v="Copiers"/>
    <s v="Pro Copiers 406"/>
    <x v="3"/>
    <n v="6"/>
    <n v="4246.71"/>
    <n v="0.15"/>
    <n v="21658.22"/>
    <n v="15490.69"/>
    <n v="6167.53"/>
    <x v="3"/>
    <s v="Returned"/>
  </r>
  <r>
    <x v="275"/>
    <x v="107"/>
    <d v="2024-02-22T00:00:00"/>
    <n v="7"/>
    <s v="CUST-2875"/>
    <s v="Priya Menon"/>
    <s v="Small Business"/>
    <x v="1"/>
    <x v="6"/>
    <s v="Kolkata"/>
    <x v="1"/>
    <s v="Furnishings"/>
    <s v="Eco Furnishings 678"/>
    <x v="1"/>
    <n v="1"/>
    <n v="980.51"/>
    <n v="0"/>
    <n v="980.51"/>
    <n v="660.92"/>
    <n v="319.58999999999997"/>
    <x v="0"/>
    <s v="Completed"/>
  </r>
  <r>
    <x v="276"/>
    <x v="163"/>
    <d v="2024-01-23T00:00:00"/>
    <n v="1"/>
    <s v="CUST-7039"/>
    <s v="Aarav Sharma"/>
    <s v="Small Business"/>
    <x v="4"/>
    <x v="10"/>
    <s v="Guwahati"/>
    <x v="1"/>
    <s v="Chairs"/>
    <s v="Basic Chairs 141"/>
    <x v="0"/>
    <n v="6"/>
    <n v="3391.53"/>
    <n v="-0.14000000000000001"/>
    <n v="15261.89"/>
    <n v="8413.5300000000007"/>
    <n v="6848.36"/>
    <x v="0"/>
    <s v="Completed"/>
  </r>
  <r>
    <x v="277"/>
    <x v="189"/>
    <d v="2025-04-06T00:00:00"/>
    <n v="0"/>
    <s v="CUST-2819"/>
    <s v="Isha Nair"/>
    <s v="Corporate"/>
    <x v="0"/>
    <x v="16"/>
    <s v="Gurugram"/>
    <x v="2"/>
    <s v="Accessories"/>
    <s v="Elite Accessories 291"/>
    <x v="0"/>
    <n v="1"/>
    <n v="2133.73"/>
    <n v="0.15"/>
    <n v="2008.39"/>
    <n v="1002.57"/>
    <n v="811.1"/>
    <x v="2"/>
    <s v="Cancelled"/>
  </r>
  <r>
    <x v="278"/>
    <x v="223"/>
    <d v="2025-03-14T00:00:00"/>
    <n v="-111"/>
    <s v="CUST-8242"/>
    <s v="Priya Menon"/>
    <s v="Small Business"/>
    <x v="0"/>
    <x v="18"/>
    <s v="New Delhi"/>
    <x v="2"/>
    <s v="Accessories"/>
    <s v="Pro Accessories 207"/>
    <x v="1"/>
    <n v="1"/>
    <n v="3979.64"/>
    <n v="0.05"/>
    <n v="3780.66"/>
    <n v="2148.31"/>
    <n v="1632.35"/>
    <x v="0"/>
    <s v="Returned"/>
  </r>
  <r>
    <x v="279"/>
    <x v="224"/>
    <d v="2024-10-04T00:00:00"/>
    <n v="178"/>
    <s v="CUST-4571"/>
    <s v="Rohan Mehta"/>
    <s v="Small Business"/>
    <x v="3"/>
    <x v="3"/>
    <s v="Mumbai"/>
    <x v="0"/>
    <s v="Storage"/>
    <s v="Max Storage 564"/>
    <x v="2"/>
    <n v="1"/>
    <n v="4359.12"/>
    <n v="0.05"/>
    <n v="4141.16"/>
    <n v="2754.17"/>
    <n v="1386.99"/>
    <x v="0"/>
    <s v="Completed"/>
  </r>
  <r>
    <x v="280"/>
    <x v="61"/>
    <d v="2024-12-26T00:00:00"/>
    <n v="3"/>
    <s v="CUST-4098"/>
    <s v="Aditi Sen"/>
    <s v="Consumer"/>
    <x v="2"/>
    <x v="11"/>
    <s v="Bengaluru"/>
    <x v="2"/>
    <s v="Copiers"/>
    <s v="Prime Copiers 961"/>
    <x v="3"/>
    <n v="9"/>
    <n v="993.67"/>
    <n v="0"/>
    <n v="8943.0300000000007"/>
    <n v="5165.38"/>
    <n v="3777.65"/>
    <x v="0"/>
    <s v="Completed"/>
  </r>
  <r>
    <x v="281"/>
    <x v="225"/>
    <d v="2025-07-27T00:00:00"/>
    <n v="2"/>
    <s v="CUST-2052"/>
    <s v="Kabir Singh"/>
    <s v="Consumer"/>
    <x v="1"/>
    <x v="15"/>
    <s v="Ranchi"/>
    <x v="0"/>
    <s v="Binders"/>
    <s v="Basic Binders 637"/>
    <x v="0"/>
    <n v="6"/>
    <n v="3438.38"/>
    <n v="0.2"/>
    <n v="16504.22"/>
    <n v="11262.71"/>
    <n v="5241.51"/>
    <x v="0"/>
    <s v="Completed"/>
  </r>
  <r>
    <x v="282"/>
    <x v="78"/>
    <d v="2024-10-02T00:00:00"/>
    <n v="266"/>
    <s v="CUST-9445"/>
    <s v="Karan Malhotra"/>
    <s v="Home Office"/>
    <x v="1"/>
    <x v="10"/>
    <s v="Guwahati"/>
    <x v="1"/>
    <s v="Tables"/>
    <s v="Classic Tables 811"/>
    <x v="0"/>
    <n v="2"/>
    <n v="2298"/>
    <n v="0"/>
    <n v="4596"/>
    <n v="3220.33"/>
    <n v="1375.67"/>
    <x v="0"/>
    <s v="Completed"/>
  </r>
  <r>
    <x v="283"/>
    <x v="226"/>
    <d v="2025-03-20T00:00:00"/>
    <n v="7"/>
    <s v="CUST-6568"/>
    <s v="Vikram Iyer"/>
    <s v="Consumer"/>
    <x v="3"/>
    <x v="3"/>
    <s v="Mumbai"/>
    <x v="1"/>
    <s v="Furnishings"/>
    <s v="Classic Furnishings 819"/>
    <x v="2"/>
    <n v="1"/>
    <n v="1814.01"/>
    <n v="0"/>
    <n v="1814.01"/>
    <n v="1033.47"/>
    <n v="780.54"/>
    <x v="0"/>
    <s v="Completed"/>
  </r>
  <r>
    <x v="284"/>
    <x v="44"/>
    <d v="2024-12-14T00:00:00"/>
    <n v="6"/>
    <s v="CUST-2076"/>
    <s v="Karan Malhotra"/>
    <s v="Consumer"/>
    <x v="1"/>
    <x v="1"/>
    <s v="Bhubaneswar"/>
    <x v="1"/>
    <s v="Tables"/>
    <s v="Prime Tables 542"/>
    <x v="1"/>
    <n v="3"/>
    <n v="1576.92"/>
    <n v="0"/>
    <n v="4730.76"/>
    <n v="3139.73"/>
    <n v="1591.03"/>
    <x v="0"/>
    <s v="Returned"/>
  </r>
  <r>
    <x v="285"/>
    <x v="227"/>
    <d v="2025-08-20T00:00:00"/>
    <n v="5"/>
    <s v="CUST-5610"/>
    <s v="Neha Gupta"/>
    <s v="Home Office"/>
    <x v="0"/>
    <x v="0"/>
    <s v="Jaipur"/>
    <x v="0"/>
    <s v="Storage"/>
    <s v="Basic Storage 771"/>
    <x v="3"/>
    <n v="9"/>
    <n v="4081.77"/>
    <n v="0"/>
    <n v="36735.93"/>
    <n v="30820.84"/>
    <n v="5915.09"/>
    <x v="0"/>
    <s v="Completed"/>
  </r>
  <r>
    <x v="286"/>
    <x v="228"/>
    <d v="2024-03-02T00:00:00"/>
    <n v="3"/>
    <s v="CUST-5823"/>
    <s v="Priya Menon"/>
    <s v="Small Business"/>
    <x v="0"/>
    <x v="18"/>
    <s v="New Delhi"/>
    <x v="1"/>
    <s v="Furnishings"/>
    <s v="Pro Furnishings 848"/>
    <x v="2"/>
    <n v="7"/>
    <n v="701.8"/>
    <n v="0.1"/>
    <n v="4421.34"/>
    <n v="2489.98"/>
    <n v="1931.36"/>
    <x v="2"/>
    <s v="Returned"/>
  </r>
  <r>
    <x v="287"/>
    <x v="229"/>
    <d v="2024-07-09T00:00:00"/>
    <n v="-58"/>
    <s v="CUST-7095"/>
    <s v="Neha Gupta"/>
    <s v="Small Business"/>
    <x v="2"/>
    <x v="17"/>
    <s v="Chennai"/>
    <x v="2"/>
    <s v="Copiers"/>
    <s v="Prime Copiers 924"/>
    <x v="3"/>
    <n v="3"/>
    <n v="2555.66"/>
    <n v="0.15"/>
    <n v="6516.93"/>
    <n v="4511.54"/>
    <n v="2005.39"/>
    <x v="0"/>
    <s v="Cancelled"/>
  </r>
  <r>
    <x v="288"/>
    <x v="96"/>
    <d v="2024-06-24T00:00:00"/>
    <n v="0"/>
    <s v="CUST-4805"/>
    <s v="Rohan Mehta"/>
    <s v="Small Business"/>
    <x v="1"/>
    <x v="9"/>
    <s v="Patna"/>
    <x v="0"/>
    <s v="Binders"/>
    <s v="Classic Binders 721"/>
    <x v="1"/>
    <n v="2"/>
    <n v="4359.8999999999996"/>
    <n v="0.15"/>
    <n v="7411.83"/>
    <n v="4904.63"/>
    <n v="2507.1999999999998"/>
    <x v="0"/>
    <s v="Completed"/>
  </r>
  <r>
    <x v="289"/>
    <x v="230"/>
    <d v="2025-06-27T00:00:00"/>
    <n v="8"/>
    <s v="CUST-9114"/>
    <s v="Karan Malhotra"/>
    <s v="Home Office"/>
    <x v="2"/>
    <x v="17"/>
    <s v="Chennai"/>
    <x v="1"/>
    <s v="Bookcases"/>
    <s v="Basic Bookcases 823"/>
    <x v="2"/>
    <n v="2"/>
    <n v="4346.6899999999996"/>
    <n v="0.05"/>
    <n v="8258.7099999999991"/>
    <n v="7018.97"/>
    <n v="1239.74"/>
    <x v="0"/>
    <s v="Completed"/>
  </r>
  <r>
    <x v="290"/>
    <x v="66"/>
    <d v="2025-08-26T00:00:00"/>
    <n v="4"/>
    <s v="CUST-8557"/>
    <s v="Diya Patel"/>
    <s v="Home Office"/>
    <x v="1"/>
    <x v="15"/>
    <s v="Ranchi"/>
    <x v="1"/>
    <s v="Tables"/>
    <s v="Classic Tables 178"/>
    <x v="3"/>
    <n v="1"/>
    <n v="1842.63"/>
    <n v="0.1"/>
    <n v="1658.37"/>
    <n v="971.12"/>
    <n v="687.25"/>
    <x v="0"/>
    <s v="Completed"/>
  </r>
  <r>
    <x v="291"/>
    <x v="197"/>
    <d v="2024-10-04T00:00:00"/>
    <n v="182"/>
    <s v="CUST-2860"/>
    <s v="Priya Menon"/>
    <s v="Home Office"/>
    <x v="0"/>
    <x v="0"/>
    <s v="Jaipur"/>
    <x v="0"/>
    <s v="Binders"/>
    <s v="Eco Binders 153"/>
    <x v="3"/>
    <n v="4"/>
    <n v="3228.66"/>
    <n v="0.25"/>
    <n v="9685.98"/>
    <n v="7730.04"/>
    <n v="1955.94"/>
    <x v="0"/>
    <s v="Completed"/>
  </r>
  <r>
    <x v="292"/>
    <x v="231"/>
    <d v="2025-03-03T00:00:00"/>
    <n v="3"/>
    <s v="CUST-7837"/>
    <s v="Kabir Singh"/>
    <s v="Home Office"/>
    <x v="0"/>
    <x v="16"/>
    <s v="Gurugram"/>
    <x v="0"/>
    <s v="Art"/>
    <s v="Classic Art 183"/>
    <x v="1"/>
    <n v="9"/>
    <n v="3748.95"/>
    <n v="0"/>
    <n v="33740.550000000003"/>
    <n v="24621.89"/>
    <n v="9118.66"/>
    <x v="2"/>
    <s v="Cancelled"/>
  </r>
  <r>
    <x v="293"/>
    <x v="232"/>
    <d v="2024-11-03T00:00:00"/>
    <n v="241"/>
    <s v="CUST-7010"/>
    <s v="Arjun Bose"/>
    <s v="Home Office"/>
    <x v="2"/>
    <x v="2"/>
    <s v="Hyderabad"/>
    <x v="2"/>
    <s v="Phones"/>
    <s v="Pro Phones 455"/>
    <x v="2"/>
    <n v="2"/>
    <n v="4401.51"/>
    <n v="0.65"/>
    <n v="8362.8700000000008"/>
    <n v="6541.04"/>
    <n v="1821.83"/>
    <x v="0"/>
    <s v="Completed"/>
  </r>
  <r>
    <x v="294"/>
    <x v="73"/>
    <d v="2025-07-22T00:00:00"/>
    <n v="6"/>
    <s v="CUST-4755"/>
    <s v="Priya Menon"/>
    <s v="Consumer"/>
    <x v="1"/>
    <x v="1"/>
    <s v="Bhubaneswar"/>
    <x v="2"/>
    <s v="Phones"/>
    <s v="Basic Phones 326"/>
    <x v="0"/>
    <n v="6"/>
    <n v="4159.33"/>
    <n v="0.25"/>
    <n v="18716.990000000002"/>
    <n v="12282.43"/>
    <n v="6434.56"/>
    <x v="0"/>
    <s v="Returned"/>
  </r>
  <r>
    <x v="295"/>
    <x v="203"/>
    <d v="2025-06-28T00:00:00"/>
    <n v="3"/>
    <s v="CUST-6778"/>
    <s v="Aditi Sen"/>
    <s v="Small Business"/>
    <x v="1"/>
    <x v="10"/>
    <s v="Guwahati"/>
    <x v="0"/>
    <s v="Binders"/>
    <s v="Max Binders 587"/>
    <x v="3"/>
    <n v="3"/>
    <n v="3476.05"/>
    <n v="0.1"/>
    <n v="9385.34"/>
    <n v="5828.54"/>
    <n v="3556.8"/>
    <x v="0"/>
    <s v="Completed"/>
  </r>
  <r>
    <x v="296"/>
    <x v="233"/>
    <d v="2025-05-26T00:00:00"/>
    <n v="2"/>
    <s v="CUST-7629"/>
    <s v="Aditi Sen"/>
    <s v="Home Office"/>
    <x v="0"/>
    <x v="16"/>
    <s v="Gurugram"/>
    <x v="1"/>
    <s v="Furnishings"/>
    <s v="Basic Furnishings 617"/>
    <x v="1"/>
    <n v="6"/>
    <n v="3495.41"/>
    <n v="0.15"/>
    <n v="17826.59"/>
    <n v="10855.35"/>
    <n v="6971.24"/>
    <x v="0"/>
    <s v="Completed"/>
  </r>
  <r>
    <x v="297"/>
    <x v="98"/>
    <d v="2024-06-11T00:00:00"/>
    <n v="-140"/>
    <s v="CUST-6724"/>
    <s v="Sneha Kapoor"/>
    <s v="Corporate"/>
    <x v="2"/>
    <x v="17"/>
    <s v="Chennai"/>
    <x v="2"/>
    <s v="Copiers"/>
    <s v="Prime Copiers 669"/>
    <x v="1"/>
    <n v="6"/>
    <n v="1169.92"/>
    <n v="0.15"/>
    <n v="5966.59"/>
    <n v="3994.72"/>
    <n v="1971.87"/>
    <x v="0"/>
    <s v="Completed"/>
  </r>
  <r>
    <x v="298"/>
    <x v="85"/>
    <d v="2025-01-26T00:00:00"/>
    <n v="3"/>
    <s v="CUST-2141"/>
    <s v="Isha Nair"/>
    <s v="Consumer"/>
    <x v="2"/>
    <x v="13"/>
    <s v="Kochi"/>
    <x v="2"/>
    <s v="Copiers"/>
    <s v="Eco Copiers 894"/>
    <x v="2"/>
    <n v="7"/>
    <n v="348.49"/>
    <n v="0.2"/>
    <n v="1951.54"/>
    <n v="1609.95"/>
    <n v="341.59"/>
    <x v="3"/>
    <s v="Returned"/>
  </r>
  <r>
    <x v="299"/>
    <x v="234"/>
    <d v="2024-12-11T00:00:00"/>
    <n v="183"/>
    <s v="CUST-7264"/>
    <s v="Rahul Verma"/>
    <s v="Small Business"/>
    <x v="3"/>
    <x v="12"/>
    <s v="Ahmedabad"/>
    <x v="2"/>
    <s v="Accessories"/>
    <s v="Max Accessories 145"/>
    <x v="3"/>
    <n v="7"/>
    <n v="1719.05"/>
    <n v="0.1"/>
    <n v="10830.02"/>
    <n v="7055.31"/>
    <n v="3774.71"/>
    <x v="0"/>
    <s v="Completed"/>
  </r>
  <r>
    <x v="300"/>
    <x v="235"/>
    <d v="2024-04-23T00:00:00"/>
    <n v="8"/>
    <s v="CUST-2668"/>
    <s v="Diya Patel"/>
    <s v="Small Business"/>
    <x v="0"/>
    <x v="7"/>
    <s v="Ludhiana"/>
    <x v="2"/>
    <s v="Accessories"/>
    <s v="Classic Accessories 126"/>
    <x v="0"/>
    <n v="9"/>
    <n v="3893.74"/>
    <n v="0.1"/>
    <n v="31539.29"/>
    <n v="22100.14"/>
    <n v="9439.15"/>
    <x v="0"/>
    <s v="Completed"/>
  </r>
  <r>
    <x v="301"/>
    <x v="216"/>
    <d v="2025-01-06T00:00:00"/>
    <n v="-142"/>
    <s v="CUST-5599"/>
    <s v="Isha Nair"/>
    <s v="Home Office"/>
    <x v="1"/>
    <x v="9"/>
    <s v="Patna"/>
    <x v="2"/>
    <s v="Phones"/>
    <s v="Elite Phones 202"/>
    <x v="1"/>
    <n v="4"/>
    <n v="1654.11"/>
    <n v="0.05"/>
    <n v="6285.62"/>
    <n v="3705.38"/>
    <n v="2580.2399999999998"/>
    <x v="0"/>
    <s v="Completed"/>
  </r>
  <r>
    <x v="302"/>
    <x v="189"/>
    <d v="2025-12-06T00:00:00"/>
    <n v="244"/>
    <s v="CUST-1623"/>
    <s v="Neha Gupta"/>
    <s v="Consumer"/>
    <x v="3"/>
    <x v="14"/>
    <s v="Panaji"/>
    <x v="0"/>
    <s v="Storage"/>
    <s v="Elite Storage 535"/>
    <x v="1"/>
    <n v="2"/>
    <n v="2703.28"/>
    <n v="0.25"/>
    <n v="4054.92"/>
    <n v="2424.83"/>
    <n v="1630.09"/>
    <x v="0"/>
    <s v="Completed"/>
  </r>
  <r>
    <x v="303"/>
    <x v="160"/>
    <d v="2024-06-28T00:00:00"/>
    <n v="5"/>
    <s v="CUST-9035"/>
    <s v="Diya Patel"/>
    <s v="Home Office"/>
    <x v="3"/>
    <x v="12"/>
    <s v="Ahmedabad"/>
    <x v="1"/>
    <s v="Chairs"/>
    <s v="Elite Chairs 107"/>
    <x v="3"/>
    <n v="2"/>
    <n v="1313.14"/>
    <n v="0.1"/>
    <n v="2363.65"/>
    <n v="1876.1"/>
    <n v="487.55"/>
    <x v="2"/>
    <s v="Returned"/>
  </r>
  <r>
    <x v="304"/>
    <x v="236"/>
    <d v="2024-03-13T00:00:00"/>
    <n v="7"/>
    <s v="CUST-6286"/>
    <s v="Karan Malhotra"/>
    <s v="Consumer"/>
    <x v="0"/>
    <x v="7"/>
    <s v="Ludhiana"/>
    <x v="1"/>
    <s v="Furnishings"/>
    <s v="Pro Furnishings 991"/>
    <x v="3"/>
    <n v="6"/>
    <n v="2403.0500000000002"/>
    <n v="0.1"/>
    <n v="12976.47"/>
    <n v="10019.98"/>
    <n v="2956.49"/>
    <x v="0"/>
    <s v="Completed"/>
  </r>
  <r>
    <x v="305"/>
    <x v="237"/>
    <d v="2024-05-02T00:00:00"/>
    <n v="118"/>
    <s v="CUST-7246"/>
    <s v="Ananya Rao"/>
    <s v="Consumer"/>
    <x v="1"/>
    <x v="10"/>
    <s v="Guwahati"/>
    <x v="1"/>
    <s v="Chairs"/>
    <s v="Eco Chairs 105"/>
    <x v="2"/>
    <n v="4"/>
    <n v="4156.0600000000004"/>
    <n v="0.55000000000000004"/>
    <n v="13299.39"/>
    <n v="9851.91"/>
    <n v="3447.48"/>
    <x v="0"/>
    <s v="Cancelled"/>
  </r>
  <r>
    <x v="306"/>
    <x v="139"/>
    <d v="2025-02-23T00:00:00"/>
    <n v="3"/>
    <s v="CUST-2589"/>
    <s v="Aarav Sharma"/>
    <s v="Consumer"/>
    <x v="0"/>
    <x v="0"/>
    <s v="Jaipur"/>
    <x v="2"/>
    <s v="Phones"/>
    <s v="Pro Phones 530"/>
    <x v="0"/>
    <n v="4"/>
    <n v="3673.11"/>
    <n v="0"/>
    <n v="14692.44"/>
    <n v="10082.19"/>
    <n v="4610.25"/>
    <x v="0"/>
    <s v="Completed"/>
  </r>
  <r>
    <x v="307"/>
    <x v="93"/>
    <d v="2025-07-19T00:00:00"/>
    <n v="-141"/>
    <s v="CUST-4153"/>
    <s v="Ananya Rao"/>
    <s v="Corporate"/>
    <x v="0"/>
    <x v="8"/>
    <s v="Noida"/>
    <x v="1"/>
    <s v="Tables"/>
    <s v="Basic Tables 911"/>
    <x v="2"/>
    <n v="9"/>
    <n v="4093.04"/>
    <n v="0.2"/>
    <n v="29469.89"/>
    <n v="18935.509999999998"/>
    <n v="10534.38"/>
    <x v="2"/>
    <s v="Cancelled"/>
  </r>
  <r>
    <x v="308"/>
    <x v="238"/>
    <d v="2025-06-19T00:00:00"/>
    <n v="6"/>
    <s v="CUST-6727"/>
    <s v="Rohan Mehta"/>
    <s v="Consumer"/>
    <x v="0"/>
    <x v="0"/>
    <s v="Jaipur"/>
    <x v="1"/>
    <s v="Tables"/>
    <s v="Classic Tables 224"/>
    <x v="2"/>
    <n v="4"/>
    <n v="731.57"/>
    <n v="0.2"/>
    <n v="2341.02"/>
    <n v="1565.49"/>
    <n v="775.53"/>
    <x v="0"/>
    <s v="Completed"/>
  </r>
  <r>
    <x v="309"/>
    <x v="56"/>
    <d v="2024-07-22T00:00:00"/>
    <n v="2"/>
    <s v="CUST-8860"/>
    <s v="Ananya Rao"/>
    <s v="Consumer"/>
    <x v="2"/>
    <x v="17"/>
    <s v="Chennai"/>
    <x v="1"/>
    <s v="Tables"/>
    <s v="Prime Tables 214"/>
    <x v="2"/>
    <n v="7"/>
    <n v="2060.73"/>
    <n v="0.1"/>
    <n v="12982.6"/>
    <n v="7246.36"/>
    <n v="5736.24"/>
    <x v="0"/>
    <s v="Cancelled"/>
  </r>
  <r>
    <x v="310"/>
    <x v="239"/>
    <d v="2024-08-07T00:00:00"/>
    <n v="122"/>
    <s v="CUST-3784"/>
    <s v="Rohan Mehta"/>
    <s v="Small Business"/>
    <x v="2"/>
    <x v="17"/>
    <s v="Chennai"/>
    <x v="2"/>
    <s v="Machines"/>
    <s v="Max Machines 988"/>
    <x v="2"/>
    <n v="8"/>
    <n v="2034.25"/>
    <n v="0"/>
    <n v="16274"/>
    <n v="9424.25"/>
    <n v="6849.75"/>
    <x v="0"/>
    <s v="Completed"/>
  </r>
  <r>
    <x v="311"/>
    <x v="240"/>
    <d v="2024-02-05T00:00:00"/>
    <n v="-82"/>
    <s v="CUST-3545"/>
    <s v="Mira Das"/>
    <s v="Corporate"/>
    <x v="2"/>
    <x v="11"/>
    <s v="Bengaluru"/>
    <x v="0"/>
    <s v="Binders"/>
    <s v="Max Binders 425"/>
    <x v="0"/>
    <n v="5"/>
    <n v="554.04"/>
    <n v="0.1"/>
    <n v="2493.1799999999998"/>
    <n v="1764"/>
    <n v="729.18"/>
    <x v="0"/>
    <s v="Completed"/>
  </r>
  <r>
    <x v="312"/>
    <x v="241"/>
    <d v="2024-04-08T00:00:00"/>
    <n v="-114"/>
    <s v="CUST-4851"/>
    <s v="Karan Malhotra"/>
    <s v="Small Business"/>
    <x v="1"/>
    <x v="10"/>
    <s v="Guwahati"/>
    <x v="2"/>
    <s v="Phones"/>
    <s v="Elite Phones 679"/>
    <x v="3"/>
    <n v="8"/>
    <n v="2614.7399999999998"/>
    <m/>
    <n v="15688.44"/>
    <n v="10047.33"/>
    <n v="5641.11"/>
    <x v="0"/>
    <s v="Cancelled"/>
  </r>
  <r>
    <x v="313"/>
    <x v="51"/>
    <d v="2025-05-31T00:00:00"/>
    <n v="1"/>
    <s v="CUST-4770"/>
    <s v="Rahul Verma"/>
    <s v="Corporate"/>
    <x v="0"/>
    <x v="8"/>
    <s v="Noida"/>
    <x v="2"/>
    <s v="Phones"/>
    <s v="Pro Phones 764"/>
    <x v="2"/>
    <n v="8"/>
    <n v="2081.4299999999998"/>
    <n v="0.25"/>
    <n v="12488.58"/>
    <n v="10717.4"/>
    <n v="1771.18"/>
    <x v="1"/>
    <s v="Cancelled"/>
  </r>
  <r>
    <x v="314"/>
    <x v="169"/>
    <d v="2025-05-20T00:00:00"/>
    <n v="2"/>
    <s v="CUST-1945"/>
    <s v="Isha Nair"/>
    <s v="Corporate"/>
    <x v="3"/>
    <x v="4"/>
    <s v="Indore"/>
    <x v="0"/>
    <s v="Labels"/>
    <s v="Elite Labels 544"/>
    <x v="3"/>
    <n v="9"/>
    <n v="847.76"/>
    <n v="0.15"/>
    <n v="6485.36"/>
    <n v="5376.17"/>
    <n v="1109.19"/>
    <x v="3"/>
    <s v="Returned"/>
  </r>
  <r>
    <x v="315"/>
    <x v="242"/>
    <d v="2024-08-07T00:00:00"/>
    <n v="182"/>
    <s v="CUST-7565"/>
    <s v="Rohan Mehta"/>
    <s v="Consumer"/>
    <x v="0"/>
    <x v="18"/>
    <s v="New Delhi"/>
    <x v="0"/>
    <s v="Paper"/>
    <s v="Smart Paper 817"/>
    <x v="3"/>
    <n v="9"/>
    <n v="3450.4"/>
    <n v="0.05"/>
    <n v="29500.92"/>
    <n v="17989.68"/>
    <n v="11511.24"/>
    <x v="2"/>
    <s v="Returned"/>
  </r>
  <r>
    <x v="316"/>
    <x v="243"/>
    <d v="2024-02-18T00:00:00"/>
    <n v="2"/>
    <s v="CUST-9913"/>
    <s v="Karan Malhotra"/>
    <s v="Corporate"/>
    <x v="0"/>
    <x v="7"/>
    <s v="Ludhiana"/>
    <x v="0"/>
    <s v="Labels"/>
    <s v="Classic Labels 466"/>
    <x v="3"/>
    <n v="2"/>
    <n v="1947.53"/>
    <n v="0.2"/>
    <n v="3116.05"/>
    <n v="1956.63"/>
    <n v="1159.42"/>
    <x v="0"/>
    <s v="Cancelled"/>
  </r>
  <r>
    <x v="317"/>
    <x v="4"/>
    <d v="2025-04-09T00:00:00"/>
    <n v="-142"/>
    <s v="CUST-7992"/>
    <s v="Neha Gupta"/>
    <s v="Corporate"/>
    <x v="2"/>
    <x v="13"/>
    <s v="Kochi"/>
    <x v="1"/>
    <s v="Tables"/>
    <s v="Pro Tables 778"/>
    <x v="2"/>
    <n v="9"/>
    <n v="2996.97"/>
    <n v="0.15"/>
    <n v="22926.82"/>
    <n v="14621.59"/>
    <n v="8305.23"/>
    <x v="0"/>
    <s v="Completed"/>
  </r>
  <r>
    <x v="318"/>
    <x v="244"/>
    <d v="2024-04-30T00:00:00"/>
    <n v="5"/>
    <s v="CUST-8877"/>
    <s v="Mira Das"/>
    <s v="Small Business"/>
    <x v="2"/>
    <x v="11"/>
    <s v="Bengaluru"/>
    <x v="2"/>
    <s v="Phones"/>
    <s v="Basic Phones 789"/>
    <x v="3"/>
    <n v="3"/>
    <n v="4149.46"/>
    <n v="0.1"/>
    <n v="11203.54"/>
    <n v="8452.93"/>
    <n v="2750.61"/>
    <x v="0"/>
    <s v="Completed"/>
  </r>
  <r>
    <x v="319"/>
    <x v="245"/>
    <d v="2024-08-25T00:00:00"/>
    <n v="4"/>
    <s v="CUST-4589"/>
    <s v="Diya Patel"/>
    <s v="Consumer"/>
    <x v="3"/>
    <x v="12"/>
    <s v="Ahmedabad"/>
    <x v="0"/>
    <s v="Binders"/>
    <s v="Prime Binders 554"/>
    <x v="2"/>
    <n v="1"/>
    <n v="270.27999999999997"/>
    <n v="0"/>
    <n v="270.27999999999997"/>
    <n v="156.34"/>
    <n v="113.94"/>
    <x v="0"/>
    <s v="Completed"/>
  </r>
  <r>
    <x v="320"/>
    <x v="246"/>
    <d v="2024-12-06T00:00:00"/>
    <n v="2"/>
    <s v="CUST-4667"/>
    <s v="Aarav Sharma"/>
    <s v="Home Office"/>
    <x v="1"/>
    <x v="6"/>
    <s v="Kolkata"/>
    <x v="0"/>
    <s v="Art"/>
    <s v="Classic Art 299"/>
    <x v="0"/>
    <n v="3"/>
    <n v="876.14"/>
    <s v="70%"/>
    <n v="2628.42"/>
    <n v="1541.54"/>
    <n v="1086.8800000000001"/>
    <x v="2"/>
    <s v="Returned"/>
  </r>
  <r>
    <x v="321"/>
    <x v="160"/>
    <d v="2024-06-30T00:00:00"/>
    <n v="7"/>
    <s v="CUST-7821"/>
    <s v="Neha Gupta"/>
    <s v="Small Business"/>
    <x v="3"/>
    <x v="14"/>
    <s v="Panaji"/>
    <x v="2"/>
    <s v="Accessories"/>
    <s v="Eco Accessories 220"/>
    <x v="1"/>
    <n v="4"/>
    <n v="674.82"/>
    <n v="0"/>
    <n v="2699.28"/>
    <n v="1759.76"/>
    <n v="939.52"/>
    <x v="3"/>
    <s v="Cancelled"/>
  </r>
  <r>
    <x v="322"/>
    <x v="36"/>
    <d v="2024-12-11T00:00:00"/>
    <n v="0"/>
    <s v="CUST-8579"/>
    <s v="Isha Nair"/>
    <s v="Consumer"/>
    <x v="0"/>
    <x v="8"/>
    <s v="Noida"/>
    <x v="2"/>
    <s v="Phones"/>
    <s v="Max Phones 422"/>
    <x v="0"/>
    <n v="6"/>
    <n v="1369.48"/>
    <n v="0.15"/>
    <n v="6984.35"/>
    <n v="4023.63"/>
    <n v="2960.72"/>
    <x v="0"/>
    <s v="Completed"/>
  </r>
  <r>
    <x v="323"/>
    <x v="247"/>
    <d v="2024-02-29T00:00:00"/>
    <n v="4"/>
    <s v="CUST-6909"/>
    <s v="Isha Nair"/>
    <s v="Small Business"/>
    <x v="3"/>
    <x v="14"/>
    <s v="Panaji"/>
    <x v="1"/>
    <s v="Furnishings"/>
    <s v="Eco Furnishings 897"/>
    <x v="3"/>
    <n v="9"/>
    <n v="1331.46"/>
    <n v="0.15"/>
    <n v="10185.67"/>
    <n v="6479.31"/>
    <n v="3706.36"/>
    <x v="0"/>
    <s v="Completed"/>
  </r>
  <r>
    <x v="324"/>
    <x v="248"/>
    <d v="2025-02-08T00:00:00"/>
    <n v="-173"/>
    <s v="CUST-7212"/>
    <s v="Rohan Mehta"/>
    <s v="Home Office"/>
    <x v="2"/>
    <x v="5"/>
    <s v="Vijayawada"/>
    <x v="0"/>
    <s v="Labels"/>
    <s v="Basic Labels 102"/>
    <x v="1"/>
    <n v="1"/>
    <n v="1947.88"/>
    <n v="0.15"/>
    <n v="1655.7"/>
    <n v="1354.8"/>
    <n v="300.89999999999998"/>
    <x v="0"/>
    <s v="Returned"/>
  </r>
  <r>
    <x v="325"/>
    <x v="249"/>
    <d v="2025-09-22T00:00:00"/>
    <n v="6"/>
    <s v="CUST-7980"/>
    <s v="Sneha Kapoor"/>
    <s v="Home Office"/>
    <x v="1"/>
    <x v="6"/>
    <s v="Kolkata"/>
    <x v="2"/>
    <s v="Copiers"/>
    <s v="Prime Copiers 170"/>
    <x v="0"/>
    <n v="5"/>
    <n v="3671.2"/>
    <n v="0.15"/>
    <n v="15602.6"/>
    <n v="11908.52"/>
    <n v="3694.08"/>
    <x v="0"/>
    <s v="Completed"/>
  </r>
  <r>
    <x v="326"/>
    <x v="162"/>
    <d v="2025-07-22T00:00:00"/>
    <n v="0"/>
    <s v="CUST-1966"/>
    <s v="Sneha Kapoor"/>
    <s v="Corporate"/>
    <x v="1"/>
    <x v="15"/>
    <s v="Ranchi"/>
    <x v="1"/>
    <s v="Furnishings"/>
    <s v="Smart Furnishings 533"/>
    <x v="1"/>
    <n v="5"/>
    <n v="3187.05"/>
    <n v="0.05"/>
    <n v="15138.49"/>
    <n v="11235.72"/>
    <n v="3902.77"/>
    <x v="0"/>
    <s v="Completed"/>
  </r>
  <r>
    <x v="327"/>
    <x v="250"/>
    <d v="2024-07-27T00:00:00"/>
    <n v="3"/>
    <s v="CUST-6163"/>
    <s v="Isha Nair"/>
    <s v="Consumer"/>
    <x v="3"/>
    <x v="0"/>
    <s v="Udaipur"/>
    <x v="2"/>
    <s v="Accessories"/>
    <s v="Classic Accessories 489"/>
    <x v="0"/>
    <n v="3"/>
    <n v="1834.55"/>
    <n v="0.2"/>
    <n v="4402.92"/>
    <n v="2993.94"/>
    <n v="1408.98"/>
    <x v="2"/>
    <s v="Cancelled"/>
  </r>
  <r>
    <x v="328"/>
    <x v="251"/>
    <d v="2025-04-06T00:00:00"/>
    <n v="-53"/>
    <s v="CUST-7239"/>
    <s v="Diya Patel"/>
    <s v="Consumer"/>
    <x v="3"/>
    <x v="3"/>
    <s v="Mumbai"/>
    <x v="0"/>
    <s v="Storage"/>
    <s v="Smart Storage 439"/>
    <x v="2"/>
    <n v="6"/>
    <n v="3100.68"/>
    <n v="0"/>
    <n v="18604.080000000002"/>
    <n v="15834.3"/>
    <n v="2769.78"/>
    <x v="0"/>
    <s v="Completed"/>
  </r>
  <r>
    <x v="329"/>
    <x v="252"/>
    <d v="2025-05-18T00:00:00"/>
    <n v="-201"/>
    <s v="CUST-9718"/>
    <s v="Neha Gupta"/>
    <s v="Small Business"/>
    <x v="3"/>
    <x v="3"/>
    <s v="Mumbai"/>
    <x v="0"/>
    <s v="Storage"/>
    <s v="Prime Storage 232"/>
    <x v="3"/>
    <n v="4"/>
    <n v="4053.03"/>
    <n v="0.05"/>
    <n v="15401.51"/>
    <n v="8650.42"/>
    <n v="6751.09"/>
    <x v="0"/>
    <s v="Completed"/>
  </r>
  <r>
    <x v="330"/>
    <x v="172"/>
    <d v="2024-05-24T00:00:00"/>
    <n v="8"/>
    <s v="CUST-1116"/>
    <s v="Arjun Bose"/>
    <s v="Home Office"/>
    <x v="0"/>
    <x v="7"/>
    <s v="Ludhiana"/>
    <x v="2"/>
    <s v="Accessories"/>
    <s v="Prime Accessories 335"/>
    <x v="1"/>
    <n v="1"/>
    <n v="783.09"/>
    <n v="0"/>
    <n v="783.09"/>
    <n v="503.89"/>
    <n v="279.2"/>
    <x v="3"/>
    <s v="Cancelled"/>
  </r>
  <r>
    <x v="331"/>
    <x v="253"/>
    <d v="2024-06-12T00:00:00"/>
    <n v="61"/>
    <s v="CUST-9346"/>
    <s v="Sneha Kapoor"/>
    <s v="Home Office"/>
    <x v="1"/>
    <x v="1"/>
    <s v="Bhubaneswar"/>
    <x v="0"/>
    <s v="Binders"/>
    <s v="Smart Binders 939"/>
    <x v="0"/>
    <n v="4"/>
    <n v="2685.66"/>
    <n v="0"/>
    <n v="10742.64"/>
    <n v="6477.37"/>
    <n v="4265.2700000000004"/>
    <x v="0"/>
    <s v="Returned"/>
  </r>
  <r>
    <x v="332"/>
    <x v="254"/>
    <d v="2025-05-28T00:00:00"/>
    <n v="1"/>
    <s v="CUST-5332"/>
    <s v="Aarav Sharma"/>
    <s v="Consumer"/>
    <x v="2"/>
    <x v="5"/>
    <s v="Vijayawada"/>
    <x v="2"/>
    <s v="Machines"/>
    <s v="Basic Machines 601"/>
    <x v="0"/>
    <n v="2"/>
    <n v="3911.96"/>
    <n v="0"/>
    <n v="7823.92"/>
    <n v="6034.63"/>
    <n v="1789.29"/>
    <x v="0"/>
    <s v="Completed"/>
  </r>
  <r>
    <x v="333"/>
    <x v="255"/>
    <d v="2025-06-27T00:00:00"/>
    <n v="5"/>
    <s v="CUST-8081"/>
    <s v="Rohan Mehta"/>
    <s v="Home Office"/>
    <x v="4"/>
    <x v="18"/>
    <s v="New Delhi"/>
    <x v="2"/>
    <s v="Phones"/>
    <s v="Pro Phones 968"/>
    <x v="2"/>
    <n v="2"/>
    <n v="1468.05"/>
    <n v="0"/>
    <n v="2936.1"/>
    <n v="1923.1"/>
    <n v="1013"/>
    <x v="0"/>
    <s v="Completed"/>
  </r>
  <r>
    <x v="334"/>
    <x v="204"/>
    <d v="2024-09-17T00:00:00"/>
    <n v="-83"/>
    <s v="CUST-3062"/>
    <s v="Ananya Rao"/>
    <s v="Consumer"/>
    <x v="1"/>
    <x v="15"/>
    <s v="Ranchi"/>
    <x v="0"/>
    <s v="Storage"/>
    <s v="Pro Storage 563"/>
    <x v="2"/>
    <n v="9"/>
    <n v="1921.47"/>
    <n v="0.25"/>
    <n v="12969.92"/>
    <n v="9398.4599999999991"/>
    <n v="3571.46"/>
    <x v="0"/>
    <s v="Completed"/>
  </r>
  <r>
    <x v="335"/>
    <x v="256"/>
    <d v="2025-06-18T00:00:00"/>
    <n v="2"/>
    <s v="CUST-3621"/>
    <s v="Rahul Verma"/>
    <s v="Home Office"/>
    <x v="3"/>
    <x v="4"/>
    <s v="Indore"/>
    <x v="0"/>
    <s v="Paper"/>
    <s v="Prime Paper 559"/>
    <x v="2"/>
    <n v="3"/>
    <n v="4289.37"/>
    <n v="0.1"/>
    <n v="11581.3"/>
    <n v="6829.43"/>
    <n v="4751.87"/>
    <x v="0"/>
    <s v="Completed"/>
  </r>
  <r>
    <x v="336"/>
    <x v="175"/>
    <d v="2024-03-21T00:00:00"/>
    <n v="4"/>
    <s v="CUST-2103"/>
    <s v="Aarav Sharma"/>
    <s v="Consumer"/>
    <x v="0"/>
    <x v="0"/>
    <s v="Jaipur"/>
    <x v="2"/>
    <s v="Copiers"/>
    <s v="Pro Copiers 999"/>
    <x v="2"/>
    <n v="8"/>
    <n v="1992.57"/>
    <n v="0"/>
    <n v="15940.56"/>
    <n v="12347.15"/>
    <n v="3593.41"/>
    <x v="0"/>
    <s v="Completed"/>
  </r>
  <r>
    <x v="337"/>
    <x v="44"/>
    <d v="2024-08-18T00:00:00"/>
    <n v="-112"/>
    <s v="CUST-4599"/>
    <s v="Ananya Rao"/>
    <s v="Consumer"/>
    <x v="1"/>
    <x v="10"/>
    <s v="Guwahati"/>
    <x v="0"/>
    <s v="Labels"/>
    <s v="Classic Labels 206"/>
    <x v="1"/>
    <n v="6"/>
    <n v="1181.74"/>
    <n v="0"/>
    <n v="7090.44"/>
    <n v="5672.27"/>
    <n v="1262.8699999999999"/>
    <x v="0"/>
    <s v="Completed"/>
  </r>
  <r>
    <x v="338"/>
    <x v="257"/>
    <d v="2024-12-08T00:00:00"/>
    <n v="118"/>
    <s v="CUST-3066"/>
    <s v="Arjun Bose"/>
    <s v="Small Business"/>
    <x v="2"/>
    <x v="5"/>
    <s v="Vijayawada"/>
    <x v="2"/>
    <s v="Accessories"/>
    <s v="Eco Accessories 315"/>
    <x v="2"/>
    <n v="8"/>
    <n v="4402.3599999999997"/>
    <n v="0.25"/>
    <n v="26414.16"/>
    <n v="21822.53"/>
    <n v="4591.63"/>
    <x v="0"/>
    <s v="Completed"/>
  </r>
  <r>
    <x v="339"/>
    <x v="139"/>
    <d v="2025-02-22T00:00:00"/>
    <n v="2"/>
    <s v="CUST-2752"/>
    <s v="Neha Gupta"/>
    <s v="Corporate"/>
    <x v="1"/>
    <x v="15"/>
    <s v="Ranchi"/>
    <x v="1"/>
    <s v="Bookcases"/>
    <s v="Elite Bookcases 988"/>
    <x v="3"/>
    <n v="8"/>
    <n v="3265.76"/>
    <n v="0.2"/>
    <n v="20900.86"/>
    <n v="12513.14"/>
    <n v="8387.7199999999993"/>
    <x v="0"/>
    <s v="Completed"/>
  </r>
  <r>
    <x v="340"/>
    <x v="258"/>
    <d v="2024-01-29T00:00:00"/>
    <n v="8"/>
    <s v="CUST-6291"/>
    <s v="Neha Gupta"/>
    <s v="Consumer"/>
    <x v="2"/>
    <x v="11"/>
    <s v="Bengaluru"/>
    <x v="0"/>
    <s v="Binders"/>
    <s v="Smart Binders 414"/>
    <x v="3"/>
    <n v="5"/>
    <n v="4058.08"/>
    <n v="0.1"/>
    <n v="18261.36"/>
    <n v="11399.94"/>
    <n v="6861.42"/>
    <x v="0"/>
    <s v="Completed"/>
  </r>
  <r>
    <x v="341"/>
    <x v="259"/>
    <d v="2025-09-09T00:00:00"/>
    <n v="31"/>
    <s v="CUST-9969"/>
    <s v="Rohan Mehta"/>
    <s v="Home Office"/>
    <x v="3"/>
    <x v="12"/>
    <s v="Ahmedabad"/>
    <x v="1"/>
    <s v="Chairs"/>
    <s v="Eco Chairs 552"/>
    <x v="0"/>
    <n v="2"/>
    <n v="3960.33"/>
    <n v="0.05"/>
    <n v="7524.63"/>
    <n v="6229.6"/>
    <n v="1295.03"/>
    <x v="0"/>
    <s v="Completed"/>
  </r>
  <r>
    <x v="342"/>
    <x v="135"/>
    <d v="2025-01-08T00:00:00"/>
    <n v="-197"/>
    <s v="CUST-3335"/>
    <s v="Kabir Singh"/>
    <s v="Small Business"/>
    <x v="1"/>
    <x v="15"/>
    <s v="Ranchi"/>
    <x v="0"/>
    <s v="Binders"/>
    <s v="Smart Binders 574"/>
    <x v="2"/>
    <n v="8"/>
    <n v="1528.92"/>
    <n v="0"/>
    <n v="12231.36"/>
    <n v="8766.9"/>
    <n v="3464.46"/>
    <x v="0"/>
    <s v="Completed"/>
  </r>
  <r>
    <x v="343"/>
    <x v="260"/>
    <d v="2025-08-10T00:00:00"/>
    <n v="-54"/>
    <s v="CUST-7358"/>
    <s v="Aarav Sharma"/>
    <s v="Corporate"/>
    <x v="3"/>
    <x v="4"/>
    <s v="Indore"/>
    <x v="2"/>
    <s v="Machines"/>
    <s v="Pro Machines 444"/>
    <x v="1"/>
    <n v="9"/>
    <n v="3837"/>
    <n v="0.1"/>
    <n v="31079.7"/>
    <n v="17758.25"/>
    <n v="13321.45"/>
    <x v="0"/>
    <s v="Completed"/>
  </r>
  <r>
    <x v="344"/>
    <x v="261"/>
    <d v="2024-11-03T00:00:00"/>
    <n v="0"/>
    <s v="CUST-8025"/>
    <s v="Priya Menon"/>
    <s v="Consumer"/>
    <x v="0"/>
    <x v="7"/>
    <s v="Ludhiana"/>
    <x v="1"/>
    <s v="Bookcases"/>
    <s v="Elite Bookcases 184"/>
    <x v="1"/>
    <n v="9"/>
    <n v="3456.38"/>
    <n v="0"/>
    <n v="31107.42"/>
    <n v="20146.66"/>
    <n v="10960.76"/>
    <x v="2"/>
    <s v="Returned"/>
  </r>
  <r>
    <x v="345"/>
    <x v="262"/>
    <d v="2024-09-22T00:00:00"/>
    <n v="8"/>
    <s v="CUST-4634"/>
    <s v="Karan Malhotra"/>
    <s v="Consumer"/>
    <x v="3"/>
    <x v="4"/>
    <s v="Indore"/>
    <x v="1"/>
    <s v="Furnishings"/>
    <s v="Elite Furnishings 138"/>
    <x v="0"/>
    <n v="2"/>
    <n v="2765.3"/>
    <n v="0"/>
    <n v="5530.6"/>
    <n v="4453.1099999999997"/>
    <n v="1077.49"/>
    <x v="0"/>
    <s v="Completed"/>
  </r>
  <r>
    <x v="346"/>
    <x v="162"/>
    <d v="2025-07-28T00:00:00"/>
    <n v="6"/>
    <s v="CUST-3400"/>
    <s v="Rahul Verma"/>
    <s v="Corporate"/>
    <x v="2"/>
    <x v="13"/>
    <s v="Kochi"/>
    <x v="1"/>
    <s v="Chairs"/>
    <s v="Eco Chairs 369"/>
    <x v="0"/>
    <n v="6"/>
    <n v="1607.46"/>
    <n v="0.2"/>
    <n v="7715.81"/>
    <n v="4258.42"/>
    <n v="3457.39"/>
    <x v="0"/>
    <s v="Completed"/>
  </r>
  <r>
    <x v="347"/>
    <x v="192"/>
    <d v="2024-12-08T00:00:00"/>
    <n v="331"/>
    <s v="CUST-1172"/>
    <s v="Aarav Sharma"/>
    <s v="Small Business"/>
    <x v="3"/>
    <x v="14"/>
    <s v="Panaji"/>
    <x v="1"/>
    <s v="Chairs"/>
    <s v="Max Chairs 487"/>
    <x v="0"/>
    <n v="5"/>
    <n v="2981.49"/>
    <n v="0.2"/>
    <n v="11925.96"/>
    <n v="10103.51"/>
    <n v="1822.45"/>
    <x v="1"/>
    <s v="Returned"/>
  </r>
  <r>
    <x v="348"/>
    <x v="199"/>
    <d v="2024-06-07T00:00:00"/>
    <n v="5"/>
    <s v="CUST-9517"/>
    <s v="Aarav Sharma"/>
    <s v="Corporate"/>
    <x v="2"/>
    <x v="11"/>
    <s v="Bengaluru"/>
    <x v="2"/>
    <s v="Phones"/>
    <s v="Classic Phones 989"/>
    <x v="1"/>
    <n v="9"/>
    <n v="2860.26"/>
    <n v="0.25"/>
    <n v="19306.759999999998"/>
    <n v="14442.38"/>
    <n v="4864.38"/>
    <x v="0"/>
    <s v="Completed"/>
  </r>
  <r>
    <x v="349"/>
    <x v="74"/>
    <d v="2025-09-29T00:00:00"/>
    <n v="2"/>
    <s v="CUST-6697"/>
    <s v="Kabir Singh"/>
    <s v="Home Office"/>
    <x v="1"/>
    <x v="15"/>
    <s v="Ranchi"/>
    <x v="1"/>
    <s v="Furnishings"/>
    <s v="Max Furnishings 628"/>
    <x v="0"/>
    <n v="9"/>
    <n v="2867.55"/>
    <n v="0.25"/>
    <n v="19355.96"/>
    <n v="15012.45"/>
    <n v="4017.4"/>
    <x v="0"/>
    <s v="Completed"/>
  </r>
  <r>
    <x v="350"/>
    <x v="263"/>
    <d v="2024-01-14T00:00:00"/>
    <n v="-169"/>
    <s v="CUST-7644"/>
    <s v="Sneha Kapoor"/>
    <s v="Small Business"/>
    <x v="1"/>
    <x v="15"/>
    <s v="Ranchi"/>
    <x v="1"/>
    <s v="Furnishings"/>
    <s v="Elite Furnishings 279"/>
    <x v="0"/>
    <n v="4"/>
    <n v="3309.54"/>
    <n v="0.1"/>
    <n v="11914.34"/>
    <n v="9771.24"/>
    <n v="2143.1"/>
    <x v="1"/>
    <s v="Returned"/>
  </r>
  <r>
    <x v="351"/>
    <x v="264"/>
    <d v="2025-05-27T00:00:00"/>
    <n v="4"/>
    <s v="CUST-9963"/>
    <s v="Vikram Iyer"/>
    <s v="Small Business"/>
    <x v="2"/>
    <x v="2"/>
    <s v="Hyderabad"/>
    <x v="0"/>
    <s v="Storage"/>
    <s v="Pro Storage 847"/>
    <x v="2"/>
    <n v="6"/>
    <n v="719.44"/>
    <n v="0.25"/>
    <n v="3237.48"/>
    <n v="2118.34"/>
    <n v="1119.1400000000001"/>
    <x v="2"/>
    <s v="Cancelled"/>
  </r>
  <r>
    <x v="352"/>
    <x v="227"/>
    <d v="2025-08-17T00:00:00"/>
    <n v="2"/>
    <s v="CUST-6382"/>
    <s v="Diya Patel"/>
    <s v="Small Business"/>
    <x v="1"/>
    <x v="10"/>
    <s v="Guwahati"/>
    <x v="2"/>
    <s v="Copiers"/>
    <s v="Elite Copiers 706"/>
    <x v="2"/>
    <n v="5"/>
    <n v="2862.6"/>
    <n v="0.25"/>
    <n v="10734.75"/>
    <n v="6475.73"/>
    <n v="4259.0200000000004"/>
    <x v="0"/>
    <s v="Completed"/>
  </r>
  <r>
    <x v="353"/>
    <x v="265"/>
    <d v="2025-02-27T00:00:00"/>
    <n v="6"/>
    <s v="CUST-3253"/>
    <s v="Ananya Rao"/>
    <s v="Consumer"/>
    <x v="0"/>
    <x v="0"/>
    <s v="Jaipur"/>
    <x v="0"/>
    <s v="Art"/>
    <s v="Prime Art 978"/>
    <x v="1"/>
    <n v="9"/>
    <n v="1431.67"/>
    <n v="0.2"/>
    <n v="10308.02"/>
    <n v="5822.31"/>
    <n v="4485.71"/>
    <x v="0"/>
    <s v="Completed"/>
  </r>
  <r>
    <x v="354"/>
    <x v="14"/>
    <d v="2024-12-31T00:00:00"/>
    <n v="4"/>
    <s v="CUST-1058"/>
    <s v="Kabir Singh"/>
    <s v="Corporate"/>
    <x v="0"/>
    <x v="7"/>
    <s v="Ludhiana"/>
    <x v="1"/>
    <s v="Furnishings"/>
    <s v="Classic Furnishings 498"/>
    <x v="3"/>
    <n v="6"/>
    <n v="3346.78"/>
    <n v="-0.06"/>
    <n v="20080.68"/>
    <n v="12908.84"/>
    <n v="7171.84"/>
    <x v="2"/>
    <s v="Cancelled"/>
  </r>
  <r>
    <x v="355"/>
    <x v="266"/>
    <d v="2024-09-05T00:00:00"/>
    <n v="-91"/>
    <s v="CUST-6414"/>
    <s v="Priya Menon"/>
    <s v="Corporate"/>
    <x v="3"/>
    <x v="0"/>
    <s v="Udaipur"/>
    <x v="1"/>
    <s v="Tables"/>
    <s v="Max Tables 829"/>
    <x v="3"/>
    <n v="5"/>
    <n v="3203.48"/>
    <n v="0"/>
    <n v="16017.4"/>
    <n v="9557.7999999999993"/>
    <n v="6459.6"/>
    <x v="2"/>
    <s v="Cancelled"/>
  </r>
  <r>
    <x v="356"/>
    <x v="102"/>
    <d v="2025-06-29T00:00:00"/>
    <n v="2"/>
    <s v="CUST-9268"/>
    <s v="Rohan Mehta"/>
    <s v="Home Office"/>
    <x v="2"/>
    <x v="2"/>
    <s v="Hyderabad"/>
    <x v="1"/>
    <s v="Chairs"/>
    <s v="Eco Chairs 346"/>
    <x v="2"/>
    <n v="5"/>
    <n v="621.70000000000005"/>
    <n v="0.2"/>
    <n v="2486.8000000000002"/>
    <n v="2131.73"/>
    <n v="355.07"/>
    <x v="2"/>
    <s v="Returned"/>
  </r>
  <r>
    <x v="357"/>
    <x v="20"/>
    <d v="2025-01-29T00:00:00"/>
    <n v="8"/>
    <s v="CUST-1363"/>
    <s v="Mira Das"/>
    <s v="Home Office"/>
    <x v="2"/>
    <x v="5"/>
    <s v="Vijayawada"/>
    <x v="2"/>
    <s v="Machines"/>
    <s v="Max Machines 770"/>
    <x v="0"/>
    <n v="8"/>
    <n v="546.13"/>
    <n v="0"/>
    <n v="4369.04"/>
    <n v="3716.88"/>
    <n v="652.16"/>
    <x v="0"/>
    <s v="Cancelled"/>
  </r>
  <r>
    <x v="358"/>
    <x v="259"/>
    <d v="2025-07-08T00:00:00"/>
    <n v="-32"/>
    <s v="CUST-2477"/>
    <s v="Vikram Iyer"/>
    <s v="Home Office"/>
    <x v="3"/>
    <x v="12"/>
    <s v="Ahmedabad"/>
    <x v="1"/>
    <s v="Bookcases"/>
    <s v="Smart Bookcases 134"/>
    <x v="0"/>
    <n v="5"/>
    <n v="1253.92"/>
    <n v="0.05"/>
    <n v="5956.12"/>
    <n v="4379.18"/>
    <n v="1576.94"/>
    <x v="2"/>
    <s v="Returned"/>
  </r>
  <r>
    <x v="359"/>
    <x v="245"/>
    <d v="2024-08-22T00:00:00"/>
    <n v="1"/>
    <s v="CUST-9571"/>
    <s v="Isha Nair"/>
    <s v="Consumer"/>
    <x v="2"/>
    <x v="17"/>
    <s v="Chennai"/>
    <x v="2"/>
    <s v="Phones"/>
    <s v="Classic Phones 586"/>
    <x v="1"/>
    <n v="9"/>
    <n v="616.96"/>
    <n v="0.1"/>
    <n v="4997.38"/>
    <n v="2971.39"/>
    <n v="2025.99"/>
    <x v="0"/>
    <s v="Completed"/>
  </r>
  <r>
    <x v="360"/>
    <x v="35"/>
    <d v="2024-06-20T00:00:00"/>
    <n v="3"/>
    <s v="CUST-3690"/>
    <s v="Sneha Kapoor"/>
    <s v="Small Business"/>
    <x v="3"/>
    <x v="12"/>
    <s v="Ahmedabad"/>
    <x v="1"/>
    <s v="Furnishings"/>
    <s v="Elite Furnishings 634"/>
    <x v="3"/>
    <n v="7"/>
    <n v="3155.25"/>
    <n v="0.2"/>
    <n v="17669.400000000001"/>
    <n v="13718.77"/>
    <n v="3950.63"/>
    <x v="1"/>
    <s v="Cancelled"/>
  </r>
  <r>
    <x v="361"/>
    <x v="177"/>
    <d v="2025-02-04T00:00:00"/>
    <n v="31"/>
    <s v="CUST-2909"/>
    <s v="Rohan Mehta"/>
    <s v="Corporate"/>
    <x v="1"/>
    <x v="1"/>
    <s v="Bhubaneswar"/>
    <x v="1"/>
    <s v="Chairs"/>
    <s v="Basic Chairs 113"/>
    <x v="0"/>
    <n v="9"/>
    <n v="4165.58"/>
    <n v="0.05"/>
    <n v="35615.71"/>
    <n v="20389.71"/>
    <n v="15226"/>
    <x v="2"/>
    <s v="Returned"/>
  </r>
  <r>
    <x v="362"/>
    <x v="196"/>
    <d v="2024-08-25T00:00:00"/>
    <n v="2"/>
    <s v="CUST-6755"/>
    <s v="Vikram Iyer"/>
    <s v="Consumer"/>
    <x v="3"/>
    <x v="14"/>
    <s v="Panaji"/>
    <x v="2"/>
    <s v="Machines"/>
    <s v="Elite Machines 216"/>
    <x v="1"/>
    <n v="4"/>
    <n v="491.16"/>
    <n v="0.05"/>
    <n v="1866.41"/>
    <n v="1576.49"/>
    <n v="289.92"/>
    <x v="0"/>
    <s v="Completed"/>
  </r>
  <r>
    <x v="363"/>
    <x v="267"/>
    <d v="2025-07-12T00:00:00"/>
    <n v="5"/>
    <s v="CUST-1832"/>
    <s v="Diya Patel"/>
    <s v="Corporate"/>
    <x v="1"/>
    <x v="6"/>
    <s v="Kolkata"/>
    <x v="1"/>
    <s v="Tables"/>
    <s v="Smart Tables 943"/>
    <x v="0"/>
    <n v="5"/>
    <n v="1831.37"/>
    <n v="0.25"/>
    <n v="6867.64"/>
    <n v="5205.3599999999997"/>
    <n v="1662.28"/>
    <x v="0"/>
    <s v="Completed"/>
  </r>
  <r>
    <x v="364"/>
    <x v="268"/>
    <d v="2025-03-24T00:00:00"/>
    <n v="3"/>
    <s v="CUST-4452"/>
    <s v="Aarav Sharma"/>
    <s v="Small Business"/>
    <x v="2"/>
    <x v="5"/>
    <s v="Vijayawada"/>
    <x v="1"/>
    <s v="Chairs"/>
    <s v="Prime Chairs 101"/>
    <x v="0"/>
    <n v="5"/>
    <n v="1239.1500000000001"/>
    <n v="0"/>
    <n v="6195.75"/>
    <n v="3967.02"/>
    <n v="2228.73"/>
    <x v="0"/>
    <s v="Completed"/>
  </r>
  <r>
    <x v="365"/>
    <x v="269"/>
    <d v="2024-06-21T00:00:00"/>
    <n v="6"/>
    <s v="CUST-2203"/>
    <s v="Aditi Sen"/>
    <s v="Corporate"/>
    <x v="3"/>
    <x v="14"/>
    <s v="Panaji"/>
    <x v="2"/>
    <s v="Accessories"/>
    <s v="Basic Accessories 774"/>
    <x v="2"/>
    <n v="8"/>
    <n v="1706.4"/>
    <m/>
    <n v="12968.64"/>
    <n v="10119.61"/>
    <n v="2849.03"/>
    <x v="0"/>
    <s v="Completed"/>
  </r>
  <r>
    <x v="366"/>
    <x v="270"/>
    <d v="2025-01-22T00:00:00"/>
    <n v="6"/>
    <s v="CUST-5397"/>
    <s v="Sneha Kapoor"/>
    <s v="Corporate"/>
    <x v="0"/>
    <x v="0"/>
    <s v="Jaipur"/>
    <x v="1"/>
    <s v="Tables"/>
    <s v="Max Tables 478"/>
    <x v="1"/>
    <n v="2"/>
    <n v="4418.28"/>
    <n v="0"/>
    <n v="8836.56"/>
    <n v="5867.75"/>
    <n v="2968.81"/>
    <x v="0"/>
    <s v="Completed"/>
  </r>
  <r>
    <x v="367"/>
    <x v="149"/>
    <d v="2024-03-16T00:00:00"/>
    <n v="1"/>
    <s v="CUST-4696"/>
    <s v="Rohan Mehta"/>
    <s v="Consumer"/>
    <x v="0"/>
    <x v="18"/>
    <s v="New Delhi"/>
    <x v="0"/>
    <s v="Art"/>
    <s v="Eco Art 646"/>
    <x v="3"/>
    <n v="6"/>
    <n v="3815.09"/>
    <n v="0.15"/>
    <n v="19456.96"/>
    <n v="14520.06"/>
    <n v="4936.8999999999996"/>
    <x v="3"/>
    <s v="Cancelled"/>
  </r>
  <r>
    <x v="368"/>
    <x v="271"/>
    <d v="2025-06-07T00:00:00"/>
    <n v="0"/>
    <s v="CUST-8246"/>
    <s v="Aarav Sharma"/>
    <s v="Home Office"/>
    <x v="0"/>
    <x v="0"/>
    <s v="Jaipur"/>
    <x v="2"/>
    <s v="Accessories"/>
    <s v="Prime Accessories 962"/>
    <x v="1"/>
    <n v="9"/>
    <n v="243.19"/>
    <n v="0.05"/>
    <n v="2079.27"/>
    <n v="1512.17"/>
    <n v="567.1"/>
    <x v="1"/>
    <s v="Returned"/>
  </r>
  <r>
    <x v="369"/>
    <x v="85"/>
    <d v="2025-01-30T00:00:00"/>
    <n v="7"/>
    <s v="CUST-5672"/>
    <s v="Priya Menon"/>
    <s v="Consumer"/>
    <x v="0"/>
    <x v="18"/>
    <s v="New Delhi"/>
    <x v="0"/>
    <s v="Labels"/>
    <s v="Eco Labels 646"/>
    <x v="3"/>
    <n v="9"/>
    <n v="1169.3699999999999"/>
    <n v="0.15"/>
    <n v="8945.68"/>
    <n v="6740.35"/>
    <n v="2205.33"/>
    <x v="0"/>
    <s v="Completed"/>
  </r>
  <r>
    <x v="370"/>
    <x v="99"/>
    <d v="2024-08-21T00:00:00"/>
    <n v="6"/>
    <s v="CUST-8521"/>
    <s v="Ananya Rao"/>
    <s v="Small Business"/>
    <x v="3"/>
    <x v="0"/>
    <s v="Udaipur"/>
    <x v="2"/>
    <s v="Copiers"/>
    <s v="Classic Copiers 505"/>
    <x v="2"/>
    <n v="7"/>
    <n v="2333.81"/>
    <n v="0.2"/>
    <n v="13069.34"/>
    <n v="8768.59"/>
    <n v="4300.75"/>
    <x v="0"/>
    <s v="Completed"/>
  </r>
  <r>
    <x v="371"/>
    <x v="163"/>
    <d v="2024-01-24T00:00:00"/>
    <n v="2"/>
    <s v="CUST-2204"/>
    <s v="Diya Patel"/>
    <s v="Home Office"/>
    <x v="3"/>
    <x v="3"/>
    <s v="Mumbai"/>
    <x v="0"/>
    <s v="Art"/>
    <s v="Pro Art 906"/>
    <x v="3"/>
    <n v="6"/>
    <n v="1026.06"/>
    <m/>
    <n v="4617.2700000000004"/>
    <n v="2981.94"/>
    <n v="1635.33"/>
    <x v="1"/>
    <s v="Cancelled"/>
  </r>
  <r>
    <x v="372"/>
    <x v="272"/>
    <d v="2025-08-18T00:00:00"/>
    <n v="2"/>
    <s v="CUST-4399"/>
    <s v="Kabir Singh"/>
    <s v="Consumer"/>
    <x v="1"/>
    <x v="15"/>
    <s v="Ranchi"/>
    <x v="1"/>
    <s v="Chairs"/>
    <s v="Max Chairs 181"/>
    <x v="1"/>
    <n v="5"/>
    <n v="1530.36"/>
    <n v="0"/>
    <n v="7651.8"/>
    <n v="5171.78"/>
    <n v="2480.02"/>
    <x v="0"/>
    <s v="Completed"/>
  </r>
  <r>
    <x v="373"/>
    <x v="273"/>
    <d v="2025-04-13T00:00:00"/>
    <n v="0"/>
    <s v="CUST-8566"/>
    <s v="Sneha Kapoor"/>
    <s v="Small Business"/>
    <x v="0"/>
    <x v="8"/>
    <s v="Noida"/>
    <x v="0"/>
    <s v="Storage"/>
    <s v="Prime Storage 951"/>
    <x v="0"/>
    <n v="9"/>
    <n v="1118.68"/>
    <n v="0"/>
    <n v="10068.120000000001"/>
    <n v="8595.3700000000008"/>
    <n v="1472.75"/>
    <x v="0"/>
    <s v="Completed"/>
  </r>
  <r>
    <x v="374"/>
    <x v="70"/>
    <d v="2025-02-28T00:00:00"/>
    <n v="1"/>
    <s v="CUST-2358"/>
    <s v="Aditi Sen"/>
    <s v="Small Business"/>
    <x v="0"/>
    <x v="8"/>
    <s v="Noida"/>
    <x v="0"/>
    <s v="Labels"/>
    <s v="Smart Labels 668"/>
    <x v="3"/>
    <n v="6"/>
    <n v="2393.25"/>
    <n v="0"/>
    <n v="14359.5"/>
    <n v="8117.71"/>
    <n v="6241.79"/>
    <x v="0"/>
    <s v="Completed"/>
  </r>
  <r>
    <x v="375"/>
    <x v="274"/>
    <d v="2025-04-01T00:00:00"/>
    <n v="91"/>
    <s v="CUST-2810"/>
    <s v="Vikram Iyer"/>
    <s v="Consumer"/>
    <x v="0"/>
    <x v="18"/>
    <s v="New Delhi"/>
    <x v="1"/>
    <s v="Chairs"/>
    <s v="Pro Chairs 364"/>
    <x v="1"/>
    <n v="3"/>
    <n v="1166.6099999999999"/>
    <n v="0.25"/>
    <n v="2624.87"/>
    <n v="2253.88"/>
    <n v="370.99"/>
    <x v="0"/>
    <s v="Completed"/>
  </r>
  <r>
    <x v="376"/>
    <x v="275"/>
    <d v="2024-12-31T00:00:00"/>
    <n v="2"/>
    <s v="CUST-5166"/>
    <s v="Isha Nair"/>
    <s v="Small Business"/>
    <x v="1"/>
    <x v="9"/>
    <s v="Patna"/>
    <x v="1"/>
    <s v="Chairs"/>
    <s v="Basic Chairs 248"/>
    <x v="2"/>
    <n v="6"/>
    <n v="1844.78"/>
    <n v="0.2"/>
    <n v="8854.94"/>
    <n v="7433.95"/>
    <n v="1420.99"/>
    <x v="0"/>
    <s v="Completed"/>
  </r>
  <r>
    <x v="377"/>
    <x v="233"/>
    <d v="2025-05-30T00:00:00"/>
    <n v="6"/>
    <s v="CUST-4875"/>
    <s v="Kabir Singh"/>
    <s v="Small Business"/>
    <x v="1"/>
    <x v="1"/>
    <s v="Bhubaneswar"/>
    <x v="0"/>
    <s v="Storage"/>
    <s v="Basic Storage 360"/>
    <x v="1"/>
    <n v="1"/>
    <n v="2564.7399999999998"/>
    <n v="0"/>
    <n v="2564.7399999999998"/>
    <n v="1754.58"/>
    <n v="810.16"/>
    <x v="0"/>
    <s v="Completed"/>
  </r>
  <r>
    <x v="378"/>
    <x v="276"/>
    <d v="2025-05-22T00:00:00"/>
    <n v="0"/>
    <s v="CUST-3154"/>
    <s v="Mira Das"/>
    <s v="Consumer"/>
    <x v="3"/>
    <x v="14"/>
    <s v="Panaji"/>
    <x v="2"/>
    <s v="Accessories"/>
    <s v="Basic Accessories 988"/>
    <x v="3"/>
    <n v="2"/>
    <n v="3910.61"/>
    <n v="0"/>
    <n v="7821.22"/>
    <n v="4994.46"/>
    <n v="2826.76"/>
    <x v="0"/>
    <s v="Completed"/>
  </r>
  <r>
    <x v="379"/>
    <x v="277"/>
    <d v="2024-09-23T00:00:00"/>
    <n v="4"/>
    <s v="CUST-6405"/>
    <s v="Mira Das"/>
    <s v="Small Business"/>
    <x v="2"/>
    <x v="13"/>
    <s v="Kochi"/>
    <x v="0"/>
    <s v="Paper"/>
    <s v="Max Paper 334"/>
    <x v="3"/>
    <n v="7"/>
    <n v="1136.68"/>
    <m/>
    <n v="7956.76"/>
    <n v="4799.54"/>
    <n v="3157.22"/>
    <x v="0"/>
    <s v="Completed"/>
  </r>
  <r>
    <x v="380"/>
    <x v="222"/>
    <d v="2024-04-14T00:00:00"/>
    <n v="-81"/>
    <s v="CUST-5779"/>
    <s v="Vikram Iyer"/>
    <s v="Consumer"/>
    <x v="3"/>
    <x v="3"/>
    <s v="Mumbai"/>
    <x v="1"/>
    <s v="Bookcases"/>
    <s v="Prime Bookcases 952"/>
    <x v="1"/>
    <n v="5"/>
    <n v="2235.85"/>
    <n v="0.25"/>
    <n v="8384.44"/>
    <n v="4765.96"/>
    <n v="3618.48"/>
    <x v="0"/>
    <s v="Returned"/>
  </r>
  <r>
    <x v="381"/>
    <x v="278"/>
    <d v="2025-09-23T00:00:00"/>
    <n v="4"/>
    <s v="CUST-9943"/>
    <s v="Arjun Bose"/>
    <s v="Home Office"/>
    <x v="0"/>
    <x v="18"/>
    <s v="New Delhi"/>
    <x v="0"/>
    <s v="Binders"/>
    <s v="Prime Binders 523"/>
    <x v="3"/>
    <n v="4"/>
    <n v="4387.1499999999996"/>
    <n v="0.05"/>
    <n v="16671.169999999998"/>
    <n v="10833.19"/>
    <n v="5837.98"/>
    <x v="3"/>
    <s v="Cancelled"/>
  </r>
  <r>
    <x v="382"/>
    <x v="279"/>
    <d v="2025-03-08T00:00:00"/>
    <n v="-26"/>
    <s v="CUST-7098"/>
    <s v="Arjun Bose"/>
    <s v="Small Business"/>
    <x v="1"/>
    <x v="9"/>
    <s v="Patna"/>
    <x v="2"/>
    <s v="Phones"/>
    <s v="Pro Phones 538"/>
    <x v="2"/>
    <n v="3"/>
    <n v="4361.8500000000004"/>
    <n v="0.2"/>
    <n v="10468.44"/>
    <n v="8399.8700000000008"/>
    <n v="2068.5700000000002"/>
    <x v="0"/>
    <s v="Completed"/>
  </r>
  <r>
    <x v="383"/>
    <x v="187"/>
    <d v="2025-05-07T00:00:00"/>
    <n v="-52"/>
    <s v="CUST-7438"/>
    <s v="Vikram Iyer"/>
    <s v="Corporate"/>
    <x v="1"/>
    <x v="6"/>
    <s v="Kolkata"/>
    <x v="0"/>
    <s v="Art"/>
    <s v="Basic Art 608"/>
    <x v="2"/>
    <n v="2"/>
    <n v="2242.75"/>
    <n v="0"/>
    <n v="4485.5"/>
    <n v="3131.86"/>
    <n v="1353.64"/>
    <x v="0"/>
    <s v="Cancelled"/>
  </r>
  <r>
    <x v="384"/>
    <x v="149"/>
    <d v="2024-03-20T00:00:00"/>
    <n v="5"/>
    <s v="CUST-8432"/>
    <s v="Rohan Mehta"/>
    <s v="Consumer"/>
    <x v="1"/>
    <x v="15"/>
    <s v="Ranchi"/>
    <x v="2"/>
    <s v="Copiers"/>
    <s v="Prime Copiers 820"/>
    <x v="3"/>
    <n v="2"/>
    <n v="1881.4"/>
    <n v="0.25"/>
    <n v="2822.1"/>
    <n v="1624.57"/>
    <n v="1197.53"/>
    <x v="0"/>
    <s v="Returned"/>
  </r>
  <r>
    <x v="385"/>
    <x v="152"/>
    <d v="2025-06-30T00:00:00"/>
    <n v="6"/>
    <s v="CUST-2834"/>
    <s v="Arjun Bose"/>
    <s v="Consumer"/>
    <x v="0"/>
    <x v="16"/>
    <s v="Gurugram"/>
    <x v="0"/>
    <s v="Labels"/>
    <s v="Classic Labels 670"/>
    <x v="3"/>
    <n v="6"/>
    <n v="365.76"/>
    <n v="0.1"/>
    <n v="1975.1"/>
    <n v="1115.3499999999999"/>
    <n v="859.75"/>
    <x v="0"/>
    <s v="Completed"/>
  </r>
  <r>
    <x v="386"/>
    <x v="280"/>
    <d v="2025-02-14T00:00:00"/>
    <n v="2"/>
    <s v="CUST-4222"/>
    <s v="Sneha Kapoor"/>
    <s v="Consumer"/>
    <x v="3"/>
    <x v="3"/>
    <s v="Mumbai"/>
    <x v="1"/>
    <s v="Furnishings"/>
    <s v="Prime Furnishings 597"/>
    <x v="0"/>
    <n v="8"/>
    <n v="2786.66"/>
    <n v="0.1"/>
    <n v="20063.95"/>
    <n v="14363.38"/>
    <n v="5700.57"/>
    <x v="0"/>
    <s v="Completed"/>
  </r>
  <r>
    <x v="387"/>
    <x v="281"/>
    <d v="2025-08-13T00:00:00"/>
    <n v="-56"/>
    <s v="CUST-1053"/>
    <s v="Priya Menon"/>
    <s v="Small Business"/>
    <x v="3"/>
    <x v="4"/>
    <s v="Indore"/>
    <x v="1"/>
    <s v="Chairs"/>
    <s v="Prime Chairs 196"/>
    <x v="3"/>
    <n v="5"/>
    <n v="352.86"/>
    <n v="0"/>
    <n v="1764.3"/>
    <n v="1332.49"/>
    <n v="431.81"/>
    <x v="2"/>
    <s v="Cancelled"/>
  </r>
  <r>
    <x v="388"/>
    <x v="282"/>
    <d v="2024-05-18T00:00:00"/>
    <n v="5"/>
    <s v="CUST-1457"/>
    <s v="Isha Nair"/>
    <s v="Small Business"/>
    <x v="3"/>
    <x v="12"/>
    <s v="Ahmedabad"/>
    <x v="1"/>
    <s v="Chairs"/>
    <s v="Elite Chairs 639"/>
    <x v="3"/>
    <n v="3"/>
    <n v="3128.59"/>
    <n v="0"/>
    <n v="9385.77"/>
    <n v="6872.44"/>
    <n v="2783.66"/>
    <x v="0"/>
    <s v="Completed"/>
  </r>
  <r>
    <x v="389"/>
    <x v="283"/>
    <d v="2024-04-13T00:00:00"/>
    <n v="-21"/>
    <s v="CUST-3930"/>
    <s v="Diya Patel"/>
    <s v="Corporate"/>
    <x v="3"/>
    <x v="12"/>
    <s v="Ahmedabad"/>
    <x v="2"/>
    <s v="Machines"/>
    <s v="Elite Machines 563"/>
    <x v="0"/>
    <n v="5"/>
    <n v="1937.54"/>
    <n v="0.2"/>
    <n v="7750.16"/>
    <n v="5434.3"/>
    <n v="2315.86"/>
    <x v="2"/>
    <s v="Cancelled"/>
  </r>
  <r>
    <x v="390"/>
    <x v="234"/>
    <d v="2024-11-11T00:00:00"/>
    <n v="153"/>
    <s v="CUST-7853"/>
    <s v="Isha Nair"/>
    <s v="Consumer"/>
    <x v="3"/>
    <x v="12"/>
    <s v="Ahmedabad"/>
    <x v="1"/>
    <s v="Furnishings"/>
    <s v="Pro Furnishings 281"/>
    <x v="3"/>
    <n v="4"/>
    <n v="1917.26"/>
    <n v="0.2"/>
    <n v="6135.23"/>
    <n v="3439.79"/>
    <n v="2695.44"/>
    <x v="0"/>
    <s v="Completed"/>
  </r>
  <r>
    <x v="391"/>
    <x v="284"/>
    <d v="2025-02-14T00:00:00"/>
    <n v="0"/>
    <s v="CUST-2267"/>
    <s v="Diya Patel"/>
    <s v="Consumer"/>
    <x v="2"/>
    <x v="11"/>
    <s v="Bengaluru"/>
    <x v="0"/>
    <s v="Storage"/>
    <s v="Eco Storage 285"/>
    <x v="2"/>
    <n v="1"/>
    <n v="714.43"/>
    <n v="0"/>
    <n v="714.43"/>
    <n v="565.44000000000005"/>
    <n v="148.99"/>
    <x v="0"/>
    <s v="Completed"/>
  </r>
  <r>
    <x v="392"/>
    <x v="285"/>
    <d v="2024-02-22T00:00:00"/>
    <n v="3"/>
    <s v="CUST-6866"/>
    <s v="Aditi Sen"/>
    <s v="Small Business"/>
    <x v="2"/>
    <x v="13"/>
    <s v="Kochi"/>
    <x v="1"/>
    <s v="Furnishings"/>
    <s v="Classic Furnishings 746"/>
    <x v="1"/>
    <n v="9"/>
    <n v="4053.01"/>
    <n v="0"/>
    <n v="36477.089999999997"/>
    <n v="24525.48"/>
    <n v="11951.61"/>
    <x v="0"/>
    <s v="Completed"/>
  </r>
  <r>
    <x v="393"/>
    <x v="196"/>
    <d v="2024-08-29T00:00:00"/>
    <n v="6"/>
    <s v="CUST-3160"/>
    <s v="Mira Das"/>
    <s v="Corporate"/>
    <x v="0"/>
    <x v="8"/>
    <s v="Noida"/>
    <x v="0"/>
    <s v="Labels"/>
    <s v="Eco Labels 815"/>
    <x v="1"/>
    <n v="2"/>
    <n v="1936.91"/>
    <n v="0.05"/>
    <n v="3680.13"/>
    <n v="2967.46"/>
    <n v="712.67"/>
    <x v="0"/>
    <s v="Completed"/>
  </r>
  <r>
    <x v="394"/>
    <x v="286"/>
    <d v="2024-04-04T00:00:00"/>
    <n v="31"/>
    <s v="CUST-8444"/>
    <s v="Kabir Singh"/>
    <s v="Consumer"/>
    <x v="3"/>
    <x v="3"/>
    <s v="Mumbai"/>
    <x v="1"/>
    <s v="Furnishings"/>
    <s v="Prime Furnishings 879"/>
    <x v="2"/>
    <n v="7"/>
    <n v="3945.21"/>
    <n v="0"/>
    <n v="27616.47"/>
    <n v="21225.26"/>
    <n v="6391.21"/>
    <x v="0"/>
    <s v="Completed"/>
  </r>
  <r>
    <x v="395"/>
    <x v="287"/>
    <d v="2024-06-07T00:00:00"/>
    <n v="1"/>
    <s v="CUST-4765"/>
    <s v="Rahul Verma"/>
    <s v="Home Office"/>
    <x v="2"/>
    <x v="17"/>
    <s v="Chennai"/>
    <x v="1"/>
    <s v="Tables"/>
    <s v="Pro Tables 142"/>
    <x v="1"/>
    <n v="7"/>
    <n v="861.91"/>
    <n v="0.05"/>
    <n v="5731.7"/>
    <n v="4115.5600000000004"/>
    <n v="1616.14"/>
    <x v="0"/>
    <s v="Completed"/>
  </r>
  <r>
    <x v="396"/>
    <x v="288"/>
    <d v="2025-04-22T00:00:00"/>
    <n v="8"/>
    <s v="CUST-2280"/>
    <s v="Aditi Sen"/>
    <s v="Small Business"/>
    <x v="2"/>
    <x v="11"/>
    <s v="Bengaluru"/>
    <x v="2"/>
    <s v="Machines"/>
    <s v="Prime Machines 267"/>
    <x v="3"/>
    <n v="2"/>
    <n v="638.73"/>
    <n v="0.05"/>
    <n v="1213.5899999999999"/>
    <n v="956.22"/>
    <n v="257.37"/>
    <x v="0"/>
    <s v="Completed"/>
  </r>
  <r>
    <x v="397"/>
    <x v="289"/>
    <d v="2025-10-06T00:00:00"/>
    <n v="30"/>
    <s v="CUST-3177"/>
    <s v="Sneha Kapoor"/>
    <s v="Small Business"/>
    <x v="0"/>
    <x v="8"/>
    <s v="Noida"/>
    <x v="1"/>
    <s v="Tables"/>
    <s v="Eco Tables 378"/>
    <x v="0"/>
    <n v="2"/>
    <n v="1731.88"/>
    <n v="0"/>
    <n v="3463.76"/>
    <n v="2143.7399999999998"/>
    <n v="1320.02"/>
    <x v="0"/>
    <s v="Completed"/>
  </r>
  <r>
    <x v="398"/>
    <x v="43"/>
    <d v="2024-07-26T00:00:00"/>
    <n v="7"/>
    <s v="CUST-4718"/>
    <s v="Vikram Iyer"/>
    <s v="Corporate"/>
    <x v="0"/>
    <x v="7"/>
    <s v="Ludhiana"/>
    <x v="2"/>
    <s v="Machines"/>
    <s v="Elite Machines 523"/>
    <x v="1"/>
    <n v="2"/>
    <n v="1263.6500000000001"/>
    <n v="0.2"/>
    <n v="2021.84"/>
    <n v="1355.22"/>
    <n v="666.62"/>
    <x v="0"/>
    <s v="Completed"/>
  </r>
  <r>
    <x v="399"/>
    <x v="290"/>
    <d v="2025-04-29T00:00:00"/>
    <n v="5"/>
    <s v="CUST-5647"/>
    <s v="Diya Patel"/>
    <s v="Small Business"/>
    <x v="2"/>
    <x v="5"/>
    <s v="Vijayawada"/>
    <x v="0"/>
    <s v="Paper"/>
    <s v="Elite Paper 308"/>
    <x v="1"/>
    <n v="1"/>
    <n v="4358.5"/>
    <n v="0.25"/>
    <n v="3268.88"/>
    <n v="1993.74"/>
    <n v="1275.1400000000001"/>
    <x v="0"/>
    <s v="Completed"/>
  </r>
  <r>
    <x v="400"/>
    <x v="291"/>
    <d v="2025-11-06T00:00:00"/>
    <n v="153"/>
    <s v="CUST-7150"/>
    <s v="Sneha Kapoor"/>
    <s v="Small Business"/>
    <x v="0"/>
    <x v="8"/>
    <s v="Noida"/>
    <x v="0"/>
    <s v="Paper"/>
    <s v="Prime Paper 851"/>
    <x v="1"/>
    <n v="7"/>
    <n v="878.09"/>
    <n v="-0.1"/>
    <n v="5839.3"/>
    <n v="4877.38"/>
    <n v="961.92"/>
    <x v="0"/>
    <s v="Completed"/>
  </r>
  <r>
    <x v="401"/>
    <x v="292"/>
    <d v="2025-03-16T00:00:00"/>
    <n v="-171"/>
    <s v="CUST-6694"/>
    <s v="Arjun Bose"/>
    <s v="Small Business"/>
    <x v="1"/>
    <x v="15"/>
    <s v="Ranchi"/>
    <x v="1"/>
    <s v="Tables"/>
    <s v="Classic Tables 151"/>
    <x v="1"/>
    <n v="3"/>
    <n v="2625.85"/>
    <n v="0"/>
    <n v="7877.55"/>
    <n v="5562.77"/>
    <n v="2314.7800000000002"/>
    <x v="0"/>
    <s v="Completed"/>
  </r>
  <r>
    <x v="402"/>
    <x v="293"/>
    <d v="2024-03-22T00:00:00"/>
    <n v="0"/>
    <s v="CUST-7680"/>
    <s v="Priya Menon"/>
    <s v="Small Business"/>
    <x v="2"/>
    <x v="11"/>
    <s v="Bengaluru"/>
    <x v="1"/>
    <s v="Tables"/>
    <s v="Smart Tables 829"/>
    <x v="4"/>
    <n v="3"/>
    <n v="1365.26"/>
    <n v="0"/>
    <n v="4095.78"/>
    <n v="2807.77"/>
    <n v="1288.01"/>
    <x v="0"/>
    <s v="Completed"/>
  </r>
  <r>
    <x v="403"/>
    <x v="148"/>
    <d v="2024-04-10T00:00:00"/>
    <n v="-173"/>
    <s v="CUST-2700"/>
    <s v="Arjun Bose"/>
    <s v="Small Business"/>
    <x v="2"/>
    <x v="13"/>
    <s v="Kochi"/>
    <x v="0"/>
    <s v="Paper"/>
    <s v="Classic Paper 237"/>
    <x v="1"/>
    <n v="5"/>
    <n v="3512.25"/>
    <n v="0.05"/>
    <n v="16683.189999999999"/>
    <n v="10301.16"/>
    <n v="6382.03"/>
    <x v="0"/>
    <s v="Returned"/>
  </r>
  <r>
    <x v="404"/>
    <x v="114"/>
    <d v="2024-02-03T00:00:00"/>
    <n v="7"/>
    <s v="CUST-2904"/>
    <s v="Aditi Sen"/>
    <s v="Corporate"/>
    <x v="3"/>
    <x v="0"/>
    <s v="Udaipur"/>
    <x v="1"/>
    <s v="Chairs"/>
    <s v="Prime Chairs 891"/>
    <x v="1"/>
    <n v="3"/>
    <n v="359.61"/>
    <n v="0"/>
    <n v="1078.83"/>
    <n v="926.35"/>
    <n v="152.47999999999999"/>
    <x v="0"/>
    <s v="Completed"/>
  </r>
  <r>
    <x v="405"/>
    <x v="294"/>
    <d v="2024-09-24T00:00:00"/>
    <n v="1"/>
    <s v="CUST-9961"/>
    <s v="Aditi Sen"/>
    <s v="Home Office"/>
    <x v="3"/>
    <x v="12"/>
    <s v="Ahmedabad"/>
    <x v="1"/>
    <s v="Bookcases"/>
    <s v="Max Bookcases 812"/>
    <x v="4"/>
    <n v="7"/>
    <n v="3878.01"/>
    <n v="0.1"/>
    <n v="24431.46"/>
    <n v="18202.36"/>
    <n v="6229.1"/>
    <x v="0"/>
    <s v="Completed"/>
  </r>
  <r>
    <x v="406"/>
    <x v="295"/>
    <d v="2025-02-25T00:00:00"/>
    <n v="0"/>
    <s v="CUST-9909"/>
    <s v="Kabir Singh"/>
    <s v="Small Business"/>
    <x v="3"/>
    <x v="14"/>
    <s v="Panaji"/>
    <x v="1"/>
    <s v="Furnishings"/>
    <s v="Basic Furnishings 164"/>
    <x v="3"/>
    <n v="2"/>
    <n v="3924.2"/>
    <n v="0.25"/>
    <n v="5886.3"/>
    <n v="3621.76"/>
    <n v="2264.54"/>
    <x v="2"/>
    <s v="Returned"/>
  </r>
  <r>
    <x v="407"/>
    <x v="266"/>
    <d v="2024-05-13T00:00:00"/>
    <n v="-206"/>
    <s v="CUST-8520"/>
    <s v="Rahul Verma"/>
    <s v="Corporate"/>
    <x v="3"/>
    <x v="14"/>
    <s v="Panaji"/>
    <x v="0"/>
    <s v="Labels"/>
    <s v="Smart Labels 261"/>
    <x v="0"/>
    <n v="3"/>
    <n v="2644.55"/>
    <n v="0"/>
    <n v="7933.65"/>
    <n v="5698.42"/>
    <n v="2235.23"/>
    <x v="0"/>
    <s v="Completed"/>
  </r>
  <r>
    <x v="408"/>
    <x v="200"/>
    <d v="2025-08-03T00:00:00"/>
    <n v="2"/>
    <s v="CUST-5036"/>
    <s v="Sneha Kapoor"/>
    <s v="Consumer"/>
    <x v="3"/>
    <x v="3"/>
    <s v="Mumbai"/>
    <x v="1"/>
    <s v="Chairs"/>
    <s v="Max Chairs 765"/>
    <x v="2"/>
    <n v="4"/>
    <n v="1773.46"/>
    <n v="0"/>
    <n v="7093.84"/>
    <n v="4587.49"/>
    <n v="2506.35"/>
    <x v="3"/>
    <s v="Returned"/>
  </r>
  <r>
    <x v="409"/>
    <x v="221"/>
    <d v="2025-02-15T00:00:00"/>
    <n v="2"/>
    <s v="CUST-7721"/>
    <s v="Karan Malhotra"/>
    <s v="Consumer"/>
    <x v="1"/>
    <x v="10"/>
    <s v="Guwahati"/>
    <x v="2"/>
    <s v="Accessories"/>
    <s v="Pro Accessories 686"/>
    <x v="1"/>
    <n v="1"/>
    <n v="3025.46"/>
    <n v="0.25"/>
    <n v="2269.1"/>
    <n v="1593.59"/>
    <n v="675.51"/>
    <x v="1"/>
    <s v="Returned"/>
  </r>
  <r>
    <x v="410"/>
    <x v="246"/>
    <d v="2024-04-20T00:00:00"/>
    <n v="-228"/>
    <s v="CUST-9495"/>
    <s v="Diya Patel"/>
    <s v="Consumer"/>
    <x v="3"/>
    <x v="14"/>
    <s v="Panaji"/>
    <x v="1"/>
    <s v="Tables"/>
    <s v="Smart Tables 100"/>
    <x v="2"/>
    <n v="9"/>
    <n v="1302.6099999999999"/>
    <n v="0.2"/>
    <n v="9378.7900000000009"/>
    <n v="6774.48"/>
    <n v="2604.31"/>
    <x v="0"/>
    <s v="Completed"/>
  </r>
  <r>
    <x v="411"/>
    <x v="100"/>
    <d v="2025-08-28T00:00:00"/>
    <n v="5"/>
    <s v="CUST-2855"/>
    <s v="Arjun Bose"/>
    <s v="Home Office"/>
    <x v="3"/>
    <x v="0"/>
    <s v="Udaipur"/>
    <x v="1"/>
    <s v="Tables"/>
    <s v="Basic Tables 615"/>
    <x v="2"/>
    <n v="1"/>
    <n v="4167.8100000000004"/>
    <n v="0.2"/>
    <n v="3334.25"/>
    <n v="2768.77"/>
    <n v="565.48"/>
    <x v="3"/>
    <s v="Returned"/>
  </r>
  <r>
    <x v="412"/>
    <x v="163"/>
    <d v="2024-01-30T00:00:00"/>
    <n v="8"/>
    <s v="CUST-4329"/>
    <s v="Isha Nair"/>
    <s v="Corporate"/>
    <x v="2"/>
    <x v="11"/>
    <s v="Bengaluru"/>
    <x v="1"/>
    <s v="Chairs"/>
    <s v="Basic Chairs 790"/>
    <x v="1"/>
    <n v="1"/>
    <n v="2111.39"/>
    <n v="0.25"/>
    <n v="1583.54"/>
    <n v="1014.19"/>
    <n v="569.35"/>
    <x v="0"/>
    <s v="Completed"/>
  </r>
  <r>
    <x v="413"/>
    <x v="27"/>
    <d v="2025-08-17T00:00:00"/>
    <n v="4"/>
    <s v="CUST-5094"/>
    <s v="Neha Gupta"/>
    <s v="Home Office"/>
    <x v="3"/>
    <x v="4"/>
    <s v="Indore"/>
    <x v="2"/>
    <s v="Accessories"/>
    <s v="Smart Accessories 226"/>
    <x v="0"/>
    <n v="8"/>
    <n v="1918.23"/>
    <n v="0"/>
    <n v="15345.84"/>
    <n v="10735.33"/>
    <n v="4610.51"/>
    <x v="2"/>
    <s v="Cancelled"/>
  </r>
  <r>
    <x v="414"/>
    <x v="296"/>
    <d v="2024-08-30T00:00:00"/>
    <n v="1"/>
    <s v="CUST-4194"/>
    <s v="Arjun Bose"/>
    <s v="Home Office"/>
    <x v="1"/>
    <x v="10"/>
    <s v="Guwahati"/>
    <x v="0"/>
    <s v="Storage"/>
    <s v="Max Storage 692"/>
    <x v="2"/>
    <n v="4"/>
    <n v="2484.08"/>
    <n v="0.05"/>
    <n v="9439.5"/>
    <n v="5519.39"/>
    <n v="3920.11"/>
    <x v="0"/>
    <s v="Completed"/>
  </r>
  <r>
    <x v="415"/>
    <x v="60"/>
    <d v="2024-01-27T00:00:00"/>
    <n v="2"/>
    <s v="CUST-7087"/>
    <s v="Aarav Sharma"/>
    <s v="Corporate"/>
    <x v="2"/>
    <x v="11"/>
    <s v="Bengaluru"/>
    <x v="0"/>
    <s v="Storage"/>
    <s v="Basic Storage 684"/>
    <x v="1"/>
    <n v="7"/>
    <n v="1727.26"/>
    <n v="0.15"/>
    <n v="10277.200000000001"/>
    <n v="7906.5"/>
    <n v="2370.6999999999998"/>
    <x v="0"/>
    <s v="Returned"/>
  </r>
  <r>
    <x v="416"/>
    <x v="200"/>
    <d v="2025-01-16T00:00:00"/>
    <n v="-197"/>
    <s v="CUST-7608"/>
    <s v="Neha Gupta"/>
    <s v="Consumer"/>
    <x v="2"/>
    <x v="2"/>
    <s v="Hyderabad"/>
    <x v="1"/>
    <s v="Furnishings"/>
    <s v="Smart Furnishings 152"/>
    <x v="2"/>
    <n v="8"/>
    <n v="638.95000000000005"/>
    <n v="0.25"/>
    <n v="3833.7"/>
    <n v="2886.35"/>
    <n v="947.35"/>
    <x v="0"/>
    <s v="Completed"/>
  </r>
  <r>
    <x v="417"/>
    <x v="297"/>
    <d v="2025-02-05T00:00:00"/>
    <n v="7"/>
    <s v="CUST-5269"/>
    <s v="Mira Das"/>
    <s v="Consumer"/>
    <x v="3"/>
    <x v="12"/>
    <s v="Ahmedabad"/>
    <x v="0"/>
    <s v="Art"/>
    <s v="Max Art 736"/>
    <x v="2"/>
    <n v="6"/>
    <n v="3863"/>
    <n v="0.2"/>
    <n v="18542.400000000001"/>
    <n v="11193.75"/>
    <n v="7348.65"/>
    <x v="0"/>
    <s v="Completed"/>
  </r>
  <r>
    <x v="418"/>
    <x v="298"/>
    <d v="2024-11-17T00:00:00"/>
    <n v="8"/>
    <s v="CUST-7925"/>
    <s v="Sneha Kapoor"/>
    <s v="Corporate"/>
    <x v="1"/>
    <x v="1"/>
    <s v="Bhubaneswar"/>
    <x v="2"/>
    <s v="Copiers"/>
    <s v="Elite Copiers 971"/>
    <x v="3"/>
    <n v="6"/>
    <n v="3660.4"/>
    <n v="0"/>
    <n v="21962.400000000001"/>
    <n v="15331.99"/>
    <n v="6630.41"/>
    <x v="3"/>
    <s v="Cancelled"/>
  </r>
  <r>
    <x v="419"/>
    <x v="299"/>
    <d v="2025-09-30T00:00:00"/>
    <n v="4"/>
    <s v="CUST-6552"/>
    <s v="Sneha Kapoor"/>
    <s v="Home Office"/>
    <x v="0"/>
    <x v="16"/>
    <s v="Gurugram"/>
    <x v="2"/>
    <s v="Phones"/>
    <s v="Classic Phones 940"/>
    <x v="1"/>
    <n v="2"/>
    <n v="688.83"/>
    <n v="0.05"/>
    <n v="1308.78"/>
    <n v="843"/>
    <n v="465.78"/>
    <x v="0"/>
    <s v="Completed"/>
  </r>
  <r>
    <x v="420"/>
    <x v="146"/>
    <d v="2025-03-19T00:00:00"/>
    <n v="1"/>
    <s v="CUST-7131"/>
    <s v="Isha Nair"/>
    <s v="Corporate"/>
    <x v="2"/>
    <x v="17"/>
    <s v="Chennai"/>
    <x v="2"/>
    <s v="Machines"/>
    <s v="Pro Machines 579"/>
    <x v="3"/>
    <n v="2"/>
    <n v="1209.99"/>
    <n v="0.25"/>
    <n v="1814.99"/>
    <n v="1120.06"/>
    <n v="694.93"/>
    <x v="2"/>
    <s v="Cancelled"/>
  </r>
  <r>
    <x v="421"/>
    <x v="300"/>
    <d v="2025-06-19T00:00:00"/>
    <n v="5"/>
    <s v="CUST-2779"/>
    <s v="Rohan Mehta"/>
    <s v="Small Business"/>
    <x v="0"/>
    <x v="18"/>
    <s v="New Delhi"/>
    <x v="0"/>
    <s v="Binders"/>
    <s v="Elite Binders 943"/>
    <x v="1"/>
    <n v="3"/>
    <n v="1037.45"/>
    <n v="0.2"/>
    <n v="2489.88"/>
    <n v="1707.52"/>
    <n v="782.36"/>
    <x v="2"/>
    <s v="Returned"/>
  </r>
  <r>
    <x v="422"/>
    <x v="292"/>
    <d v="2025-06-09T00:00:00"/>
    <n v="-86"/>
    <s v="CUST-6077"/>
    <s v="Kabir Singh"/>
    <s v="Consumer"/>
    <x v="3"/>
    <x v="4"/>
    <s v="Indore"/>
    <x v="2"/>
    <s v="Copiers"/>
    <s v="Elite Copiers 474"/>
    <x v="1"/>
    <n v="7"/>
    <n v="688.85"/>
    <n v="0.15"/>
    <n v="4098.66"/>
    <n v="2678.06"/>
    <n v="1420.6"/>
    <x v="0"/>
    <s v="Completed"/>
  </r>
  <r>
    <x v="423"/>
    <x v="97"/>
    <d v="2024-02-27T00:00:00"/>
    <n v="7"/>
    <s v="CUST-6169"/>
    <s v="Diya Patel"/>
    <s v="Consumer"/>
    <x v="2"/>
    <x v="13"/>
    <s v="Kochi"/>
    <x v="2"/>
    <s v="Accessories"/>
    <s v="Prime Accessories 236"/>
    <x v="2"/>
    <n v="9"/>
    <n v="3779.31"/>
    <n v="0.2"/>
    <n v="27211.03"/>
    <n v="17940.43"/>
    <n v="9270.6"/>
    <x v="0"/>
    <s v="Completed"/>
  </r>
  <r>
    <x v="424"/>
    <x v="301"/>
    <d v="2024-06-29T00:00:00"/>
    <n v="3"/>
    <s v="CUST-8904"/>
    <s v="Neha Gupta"/>
    <s v="Corporate"/>
    <x v="0"/>
    <x v="7"/>
    <s v="Ludhiana"/>
    <x v="2"/>
    <s v="Phones"/>
    <s v="Prime Phones 881"/>
    <x v="3"/>
    <n v="8"/>
    <n v="804.52"/>
    <n v="0"/>
    <n v="6436.16"/>
    <n v="4263.83"/>
    <n v="2172.33"/>
    <x v="0"/>
    <s v="Completed"/>
  </r>
  <r>
    <x v="425"/>
    <x v="302"/>
    <d v="2024-09-27T00:00:00"/>
    <n v="1"/>
    <s v="CUST-9586"/>
    <s v="Isha Nair"/>
    <s v="Home Office"/>
    <x v="0"/>
    <x v="18"/>
    <s v="New Delhi"/>
    <x v="0"/>
    <s v="Labels"/>
    <s v="Pro Labels 903"/>
    <x v="2"/>
    <n v="2"/>
    <n v="1065.69"/>
    <n v="0.1"/>
    <n v="1918.24"/>
    <n v="1373.52"/>
    <n v="544.72"/>
    <x v="1"/>
    <s v="Cancelled"/>
  </r>
  <r>
    <x v="426"/>
    <x v="303"/>
    <d v="2024-01-07T00:00:00"/>
    <n v="-175"/>
    <s v="CUST-5431"/>
    <s v="Aditi Sen"/>
    <s v="Consumer"/>
    <x v="0"/>
    <x v="16"/>
    <s v="Gurugram"/>
    <x v="2"/>
    <s v="Copiers"/>
    <s v="Max Copiers 402"/>
    <x v="1"/>
    <n v="8"/>
    <n v="3756.66"/>
    <n v="0.1"/>
    <n v="27047.95"/>
    <n v="18431.330000000002"/>
    <n v="8616.6200000000008"/>
    <x v="0"/>
    <s v="Completed"/>
  </r>
  <r>
    <x v="427"/>
    <x v="304"/>
    <d v="2025-04-24T00:00:00"/>
    <n v="2"/>
    <s v="CUST-8843"/>
    <s v="Isha Nair"/>
    <s v="Corporate"/>
    <x v="4"/>
    <x v="15"/>
    <s v="Ranchi"/>
    <x v="2"/>
    <s v="Accessories"/>
    <s v="Prime Accessories 419"/>
    <x v="3"/>
    <n v="9"/>
    <n v="2939.44"/>
    <n v="0"/>
    <n v="26454.959999999999"/>
    <n v="17630.25"/>
    <n v="8824.7099999999991"/>
    <x v="0"/>
    <s v="Completed"/>
  </r>
  <r>
    <x v="428"/>
    <x v="305"/>
    <d v="2025-03-22T00:00:00"/>
    <n v="7"/>
    <s v="CUST-7626"/>
    <s v="Karan Malhotra"/>
    <s v="Small Business"/>
    <x v="1"/>
    <x v="6"/>
    <s v="Kolkata"/>
    <x v="2"/>
    <s v="Phones"/>
    <s v="Elite Phones 488"/>
    <x v="1"/>
    <n v="2"/>
    <n v="1235.93"/>
    <n v="0.25"/>
    <n v="1853.89"/>
    <n v="1101.23"/>
    <n v="752.66"/>
    <x v="2"/>
    <s v="Cancelled"/>
  </r>
  <r>
    <x v="429"/>
    <x v="306"/>
    <d v="2025-08-03T00:00:00"/>
    <n v="212"/>
    <s v="CUST-8562"/>
    <s v="Neha Gupta"/>
    <s v="Home Office"/>
    <x v="0"/>
    <x v="0"/>
    <s v="Jaipur"/>
    <x v="2"/>
    <s v="Copiers"/>
    <s v="Prime Copiers 109"/>
    <x v="1"/>
    <n v="8"/>
    <n v="2943.1"/>
    <n v="0.25"/>
    <n v="17658.599999999999"/>
    <n v="13842.48"/>
    <n v="3816.12"/>
    <x v="0"/>
    <s v="Completed"/>
  </r>
  <r>
    <x v="430"/>
    <x v="307"/>
    <d v="2024-02-09T00:00:00"/>
    <n v="-203"/>
    <s v="CUST-2732"/>
    <s v="Neha Gupta"/>
    <s v="Small Business"/>
    <x v="0"/>
    <x v="16"/>
    <s v="Gurugram"/>
    <x v="0"/>
    <s v="Paper"/>
    <s v="Max Paper 576"/>
    <x v="0"/>
    <n v="1"/>
    <n v="4320.84"/>
    <n v="0.15"/>
    <n v="3672.71"/>
    <n v="2714.23"/>
    <n v="763.38"/>
    <x v="0"/>
    <s v="Completed"/>
  </r>
  <r>
    <x v="431"/>
    <x v="308"/>
    <d v="2024-02-13T00:00:00"/>
    <n v="-232"/>
    <s v="CUST-3989"/>
    <s v="Karan Malhotra"/>
    <s v="Home Office"/>
    <x v="3"/>
    <x v="14"/>
    <s v="Panaji"/>
    <x v="2"/>
    <s v="Machines"/>
    <s v="Max Machines 412"/>
    <x v="1"/>
    <n v="2"/>
    <n v="4118.45"/>
    <n v="0.25"/>
    <n v="6177.67"/>
    <n v="4520.75"/>
    <n v="1656.92"/>
    <x v="0"/>
    <s v="Completed"/>
  </r>
  <r>
    <x v="432"/>
    <x v="296"/>
    <d v="2024-02-09T00:00:00"/>
    <n v="-202"/>
    <s v="CUST-3522"/>
    <s v="Priya Menon"/>
    <s v="Small Business"/>
    <x v="3"/>
    <x v="3"/>
    <s v="Mumbai"/>
    <x v="1"/>
    <s v="Bookcases"/>
    <s v="Classic Bookcases 291"/>
    <x v="3"/>
    <n v="6"/>
    <n v="172.82"/>
    <n v="0.05"/>
    <n v="985.07"/>
    <n v="844.48"/>
    <n v="140.59"/>
    <x v="0"/>
    <s v="Completed"/>
  </r>
  <r>
    <x v="433"/>
    <x v="309"/>
    <d v="2024-04-20T00:00:00"/>
    <n v="1"/>
    <s v="CUST-7066"/>
    <s v="Priya Menon"/>
    <s v="Corporate"/>
    <x v="2"/>
    <x v="13"/>
    <s v="Kochi"/>
    <x v="0"/>
    <s v="Art"/>
    <s v="Elite Art 946"/>
    <x v="0"/>
    <n v="4"/>
    <n v="1540.22"/>
    <n v="0"/>
    <n v="6160.88"/>
    <n v="4938.7"/>
    <n v="1222.18"/>
    <x v="1"/>
    <s v="Returned"/>
  </r>
  <r>
    <x v="434"/>
    <x v="310"/>
    <d v="2025-04-15T00:00:00"/>
    <n v="4"/>
    <s v="CUST-2351"/>
    <s v="Mira Das"/>
    <s v="Home Office"/>
    <x v="0"/>
    <x v="8"/>
    <s v="Noida"/>
    <x v="2"/>
    <s v="Accessories"/>
    <s v="Eco Accessories 705"/>
    <x v="0"/>
    <n v="5"/>
    <n v="652.78"/>
    <n v="0"/>
    <n v="3263.9"/>
    <n v="2068.44"/>
    <n v="1195.46"/>
    <x v="0"/>
    <s v="Completed"/>
  </r>
  <r>
    <x v="435"/>
    <x v="311"/>
    <d v="2025-04-20T00:00:00"/>
    <n v="-228"/>
    <s v="CUST-7291"/>
    <s v="Kabir Singh"/>
    <s v="Home Office"/>
    <x v="0"/>
    <x v="18"/>
    <s v="New Delhi"/>
    <x v="2"/>
    <s v="Machines"/>
    <s v="Max Machines 151"/>
    <x v="3"/>
    <n v="1"/>
    <n v="2737.71"/>
    <n v="0.15"/>
    <n v="2327.0500000000002"/>
    <n v="1919.42"/>
    <n v="407.63"/>
    <x v="0"/>
    <s v="Cancelled"/>
  </r>
  <r>
    <x v="436"/>
    <x v="312"/>
    <d v="2024-06-21T00:00:00"/>
    <n v="5"/>
    <s v="CUST-4492"/>
    <s v="Neha Gupta"/>
    <s v="Consumer"/>
    <x v="2"/>
    <x v="13"/>
    <s v="Kochi"/>
    <x v="1"/>
    <s v="Furnishings"/>
    <s v="Max Furnishings 803"/>
    <x v="1"/>
    <n v="6"/>
    <n v="1156.78"/>
    <n v="0.05"/>
    <n v="6593.65"/>
    <n v="4359.3900000000003"/>
    <n v="2234.2600000000002"/>
    <x v="0"/>
    <s v="Returned"/>
  </r>
  <r>
    <x v="437"/>
    <x v="107"/>
    <d v="2024-02-18T00:00:00"/>
    <n v="3"/>
    <s v="CUST-5029"/>
    <s v="Aditi Sen"/>
    <s v="Small Business"/>
    <x v="2"/>
    <x v="13"/>
    <s v="Kochi"/>
    <x v="2"/>
    <s v="Accessories"/>
    <s v="Max Accessories 423"/>
    <x v="1"/>
    <n v="8"/>
    <n v="379.82"/>
    <n v="0.05"/>
    <n v="2886.63"/>
    <n v="1588.23"/>
    <n v="1298.4000000000001"/>
    <x v="3"/>
    <s v="Returned"/>
  </r>
  <r>
    <x v="438"/>
    <x v="313"/>
    <d v="2025-05-05T00:00:00"/>
    <n v="-61"/>
    <s v="CUST-7252"/>
    <s v="Neha Gupta"/>
    <s v="Corporate"/>
    <x v="1"/>
    <x v="15"/>
    <s v="Ranchi"/>
    <x v="2"/>
    <s v="Phones"/>
    <s v="Elite Phones 276"/>
    <x v="3"/>
    <n v="1"/>
    <n v="2266.4699999999998"/>
    <n v="0.2"/>
    <n v="1813.18"/>
    <n v="1363.64"/>
    <n v="449.54"/>
    <x v="0"/>
    <s v="Completed"/>
  </r>
  <r>
    <x v="439"/>
    <x v="314"/>
    <d v="2025-03-07T00:00:00"/>
    <n v="-115"/>
    <s v="CUST-7346"/>
    <s v="Aarav Sharma"/>
    <s v="Home Office"/>
    <x v="3"/>
    <x v="14"/>
    <s v="Panaji"/>
    <x v="0"/>
    <s v="Storage"/>
    <s v="Smart Storage 287"/>
    <x v="1"/>
    <n v="5"/>
    <n v="665.25"/>
    <n v="0"/>
    <n v="3326.25"/>
    <n v="2689.36"/>
    <n v="636.89"/>
    <x v="1"/>
    <s v="Returned"/>
  </r>
  <r>
    <x v="440"/>
    <x v="315"/>
    <d v="2024-04-08T00:00:00"/>
    <n v="6"/>
    <s v="CUST-9039"/>
    <s v="Vikram Iyer"/>
    <s v="Corporate"/>
    <x v="1"/>
    <x v="1"/>
    <s v="Bhubaneswar"/>
    <x v="2"/>
    <s v="Machines"/>
    <s v="Basic Machines 610"/>
    <x v="0"/>
    <n v="6"/>
    <n v="3722.84"/>
    <n v="0.2"/>
    <n v="17869.63"/>
    <n v="12163.8"/>
    <n v="5705.83"/>
    <x v="0"/>
    <s v="Completed"/>
  </r>
  <r>
    <x v="441"/>
    <x v="316"/>
    <d v="2024-03-10T00:00:00"/>
    <n v="0"/>
    <s v="CUST-3975"/>
    <s v="Karan Malhotra"/>
    <s v="Consumer"/>
    <x v="1"/>
    <x v="9"/>
    <s v="Patna"/>
    <x v="1"/>
    <s v="Bookcases"/>
    <s v="Elite Bookcases 393"/>
    <x v="3"/>
    <n v="6"/>
    <n v="4217.49"/>
    <n v="0"/>
    <n v="25304.94"/>
    <n v="20771.95"/>
    <n v="4532.99"/>
    <x v="0"/>
    <s v="Cancelled"/>
  </r>
  <r>
    <x v="442"/>
    <x v="180"/>
    <d v="2025-01-19T00:00:00"/>
    <n v="-316"/>
    <s v="CUST-6588"/>
    <s v="Aarav Sharma"/>
    <s v="Consumer"/>
    <x v="1"/>
    <x v="15"/>
    <s v="Ranchi"/>
    <x v="1"/>
    <s v="Tables"/>
    <s v="Prime Tables 242"/>
    <x v="2"/>
    <n v="1"/>
    <n v="1842.31"/>
    <n v="0"/>
    <n v="1842.31"/>
    <n v="1019.17"/>
    <n v="823.14"/>
    <x v="0"/>
    <s v="Completed"/>
  </r>
  <r>
    <x v="443"/>
    <x v="317"/>
    <d v="2024-07-04T00:00:00"/>
    <n v="91"/>
    <s v="CUST-2207"/>
    <s v="Rohan Mehta"/>
    <s v="Home Office"/>
    <x v="1"/>
    <x v="1"/>
    <s v="Bhubaneswar"/>
    <x v="1"/>
    <s v="Furnishings"/>
    <s v="Basic Furnishings 563"/>
    <x v="2"/>
    <n v="1"/>
    <n v="3683.75"/>
    <n v="0.1"/>
    <n v="3315.38"/>
    <n v="2347.6799999999998"/>
    <n v="967.7"/>
    <x v="0"/>
    <s v="Completed"/>
  </r>
  <r>
    <x v="444"/>
    <x v="318"/>
    <d v="2025-08-16T00:00:00"/>
    <n v="-114"/>
    <s v="CUST-4475"/>
    <s v="Ananya Rao"/>
    <s v="Consumer"/>
    <x v="1"/>
    <x v="10"/>
    <s v="Guwahati"/>
    <x v="2"/>
    <s v="Accessories"/>
    <s v="Prime Accessories 482"/>
    <x v="1"/>
    <n v="9"/>
    <n v="2379.2399999999998"/>
    <n v="0.05"/>
    <n v="20342.5"/>
    <n v="12407.51"/>
    <n v="7934.99"/>
    <x v="0"/>
    <s v="Completed"/>
  </r>
  <r>
    <x v="445"/>
    <x v="82"/>
    <d v="2024-05-05T00:00:00"/>
    <n v="-4"/>
    <s v="CUST-1351"/>
    <s v="Arjun Bose"/>
    <s v="Consumer"/>
    <x v="1"/>
    <x v="10"/>
    <s v="Guwahati"/>
    <x v="1"/>
    <s v="Bookcases"/>
    <s v="Eco Bookcases 215"/>
    <x v="1"/>
    <n v="2"/>
    <n v="2111.23"/>
    <n v="0.2"/>
    <n v="3377.97"/>
    <n v="2496.29"/>
    <n v="881.68"/>
    <x v="0"/>
    <s v="Completed"/>
  </r>
  <r>
    <x v="446"/>
    <x v="319"/>
    <d v="2025-09-19T00:00:00"/>
    <n v="1"/>
    <s v="CUST-9295"/>
    <s v="Sneha Kapoor"/>
    <s v="Home Office"/>
    <x v="2"/>
    <x v="5"/>
    <s v="Vijayawada"/>
    <x v="0"/>
    <s v="Storage"/>
    <s v="Eco Storage 793"/>
    <x v="1"/>
    <n v="8"/>
    <n v="4242.51"/>
    <n v="0"/>
    <n v="33940.080000000002"/>
    <n v="23754.19"/>
    <n v="10185.89"/>
    <x v="0"/>
    <s v="Completed"/>
  </r>
  <r>
    <x v="447"/>
    <x v="281"/>
    <d v="2025-10-08T00:00:00"/>
    <n v="0"/>
    <s v="CUST-3614"/>
    <s v="Rohan Mehta"/>
    <s v="Home Office"/>
    <x v="2"/>
    <x v="2"/>
    <s v="Hyderabad"/>
    <x v="1"/>
    <s v="Bookcases"/>
    <s v="Basic Bookcases 182"/>
    <x v="3"/>
    <n v="6"/>
    <n v="4288.7"/>
    <n v="0.15"/>
    <n v="21872.37"/>
    <n v="13829.5"/>
    <n v="8042.87"/>
    <x v="2"/>
    <s v="Returned"/>
  </r>
  <r>
    <x v="448"/>
    <x v="320"/>
    <d v="2024-01-18T00:00:00"/>
    <n v="3"/>
    <s v="CUST-1932"/>
    <s v="Mira Das"/>
    <s v="Small Business"/>
    <x v="2"/>
    <x v="5"/>
    <s v="Vijayawada"/>
    <x v="1"/>
    <s v="Chairs"/>
    <s v="Prime Chairs 631"/>
    <x v="2"/>
    <n v="2"/>
    <n v="201.21"/>
    <n v="0.15"/>
    <n v="342.06"/>
    <n v="244.57"/>
    <n v="97.49"/>
    <x v="0"/>
    <s v="Completed"/>
  </r>
  <r>
    <x v="449"/>
    <x v="287"/>
    <d v="2024-06-13T00:00:00"/>
    <n v="7"/>
    <s v="CUST-5094"/>
    <s v="Aditi Sen"/>
    <s v="Corporate"/>
    <x v="1"/>
    <x v="10"/>
    <s v="Guwahati"/>
    <x v="2"/>
    <s v="Machines"/>
    <s v="Basic Machines 808"/>
    <x v="0"/>
    <n v="6"/>
    <n v="3270.36"/>
    <n v="0"/>
    <n v="19622.16"/>
    <n v="14271.27"/>
    <n v="5350.89"/>
    <x v="0"/>
    <s v="Completed"/>
  </r>
  <r>
    <x v="450"/>
    <x v="321"/>
    <d v="2025-06-19T00:00:00"/>
    <n v="7"/>
    <s v="CUST-8672"/>
    <s v="Ananya Rao"/>
    <s v="Corporate"/>
    <x v="0"/>
    <x v="18"/>
    <s v="New Delhi"/>
    <x v="1"/>
    <s v="Chairs"/>
    <s v="Pro Chairs 302"/>
    <x v="3"/>
    <n v="9"/>
    <n v="2278.5700000000002"/>
    <n v="0.25"/>
    <n v="15380.35"/>
    <n v="9907.3700000000008"/>
    <n v="5472.98"/>
    <x v="0"/>
    <s v="Completed"/>
  </r>
  <r>
    <x v="451"/>
    <x v="81"/>
    <d v="2024-03-26T00:00:00"/>
    <n v="2"/>
    <s v="CUST-3907"/>
    <s v="Rohan Mehta"/>
    <s v="Small Business"/>
    <x v="0"/>
    <x v="16"/>
    <s v="Gurugram"/>
    <x v="0"/>
    <s v="Paper"/>
    <s v="Classic Paper 272"/>
    <x v="0"/>
    <n v="8"/>
    <n v="1917.64"/>
    <n v="0.15"/>
    <n v="13039.95"/>
    <n v="11127.82"/>
    <n v="1912.13"/>
    <x v="0"/>
    <s v="Cancelled"/>
  </r>
  <r>
    <x v="452"/>
    <x v="322"/>
    <d v="2024-05-16T00:00:00"/>
    <n v="-142"/>
    <s v="CUST-8796"/>
    <s v="Diya Patel"/>
    <s v="Home Office"/>
    <x v="1"/>
    <x v="15"/>
    <s v="Ranchi"/>
    <x v="2"/>
    <s v="Accessories"/>
    <s v="Smart Accessories 149"/>
    <x v="0"/>
    <n v="6"/>
    <n v="2013.33"/>
    <n v="0.2"/>
    <n v="9663.98"/>
    <n v="5628.93"/>
    <n v="4035.05"/>
    <x v="0"/>
    <s v="Completed"/>
  </r>
  <r>
    <x v="453"/>
    <x v="323"/>
    <d v="2025-11-05T00:00:00"/>
    <n v="186"/>
    <s v="CUST-2317"/>
    <s v="Rohan Mehta"/>
    <s v="Small Business"/>
    <x v="3"/>
    <x v="4"/>
    <s v="Indore"/>
    <x v="0"/>
    <s v="Labels"/>
    <s v="Elite Labels 322"/>
    <x v="1"/>
    <n v="5"/>
    <n v="1483.52"/>
    <n v="0"/>
    <n v="7417.6"/>
    <n v="4955.8599999999997"/>
    <n v="2461.7399999999998"/>
    <x v="0"/>
    <s v="Completed"/>
  </r>
  <r>
    <x v="454"/>
    <x v="324"/>
    <d v="2025-03-28T00:00:00"/>
    <n v="5"/>
    <s v="CUST-8643"/>
    <s v="Vikram Iyer"/>
    <s v="Small Business"/>
    <x v="0"/>
    <x v="0"/>
    <s v="Jaipur"/>
    <x v="1"/>
    <s v="Furnishings"/>
    <s v="Max Furnishings 821"/>
    <x v="3"/>
    <n v="9"/>
    <n v="3298"/>
    <n v="0.15"/>
    <n v="25229.7"/>
    <n v="20170.43"/>
    <n v="5059.2700000000004"/>
    <x v="0"/>
    <s v="Completed"/>
  </r>
  <r>
    <x v="455"/>
    <x v="325"/>
    <d v="2024-07-22T00:00:00"/>
    <n v="4"/>
    <s v="CUST-1800"/>
    <s v="Neha Gupta"/>
    <s v="Small Business"/>
    <x v="2"/>
    <x v="2"/>
    <s v="Hyderabad"/>
    <x v="0"/>
    <s v="Art"/>
    <s v="Basic Art 556"/>
    <x v="3"/>
    <n v="4"/>
    <n v="808.77"/>
    <n v="0"/>
    <n v="3235.08"/>
    <n v="1848.6"/>
    <n v="1386.48"/>
    <x v="0"/>
    <s v="Completed"/>
  </r>
  <r>
    <x v="456"/>
    <x v="97"/>
    <d v="2024-02-20T00:00:00"/>
    <n v="0"/>
    <s v="CUST-7688"/>
    <s v="Neha Gupta"/>
    <s v="Corporate"/>
    <x v="0"/>
    <x v="8"/>
    <s v="Noida"/>
    <x v="2"/>
    <s v="Accessories"/>
    <s v="Smart Accessories 265"/>
    <x v="1"/>
    <n v="5"/>
    <n v="2604.91"/>
    <n v="0.15"/>
    <n v="11070.87"/>
    <n v="6623.61"/>
    <n v="4447.26"/>
    <x v="0"/>
    <s v="Returned"/>
  </r>
  <r>
    <x v="457"/>
    <x v="283"/>
    <d v="2024-04-05T00:00:00"/>
    <n v="-29"/>
    <s v="CUST-4957"/>
    <s v="Mira Das"/>
    <s v="Small Business"/>
    <x v="3"/>
    <x v="14"/>
    <s v="Panaji"/>
    <x v="1"/>
    <s v="Tables"/>
    <s v="Elite Tables 418"/>
    <x v="3"/>
    <n v="7"/>
    <n v="2851.51"/>
    <n v="0"/>
    <n v="19960.57"/>
    <n v="16603.599999999999"/>
    <n v="3356.97"/>
    <x v="0"/>
    <s v="Completed"/>
  </r>
  <r>
    <x v="458"/>
    <x v="308"/>
    <d v="2024-02-11T00:00:00"/>
    <n v="-234"/>
    <s v="CUST-1263"/>
    <s v="Karan Malhotra"/>
    <s v="Corporate"/>
    <x v="0"/>
    <x v="0"/>
    <s v="Jaipur"/>
    <x v="2"/>
    <s v="Phones"/>
    <s v="Pro Phones 907"/>
    <x v="0"/>
    <n v="3"/>
    <n v="3183.72"/>
    <n v="0.1"/>
    <n v="8596.0400000000009"/>
    <n v="5378.16"/>
    <n v="3217.88"/>
    <x v="0"/>
    <s v="Completed"/>
  </r>
  <r>
    <x v="459"/>
    <x v="166"/>
    <d v="2024-04-04T00:00:00"/>
    <n v="7"/>
    <s v="CUST-4745"/>
    <s v="Ananya Rao"/>
    <s v="Home Office"/>
    <x v="3"/>
    <x v="14"/>
    <s v="Panaji"/>
    <x v="0"/>
    <s v="Paper"/>
    <s v="Basic Paper 233"/>
    <x v="2"/>
    <n v="3"/>
    <n v="1150.92"/>
    <n v="0"/>
    <n v="3452.76"/>
    <n v="2077.96"/>
    <n v="1374.8"/>
    <x v="0"/>
    <s v="Completed"/>
  </r>
  <r>
    <x v="460"/>
    <x v="326"/>
    <d v="2025-06-10T00:00:00"/>
    <n v="-112"/>
    <s v="CUST-5551"/>
    <s v="Aarav Sharma"/>
    <s v="Corporate"/>
    <x v="4"/>
    <x v="0"/>
    <s v="Jaipur"/>
    <x v="2"/>
    <s v="Copiers"/>
    <s v="Eco Copiers 603"/>
    <x v="0"/>
    <n v="9"/>
    <n v="1359.88"/>
    <n v="0.05"/>
    <n v="11626.97"/>
    <n v="7394.07"/>
    <n v="4232.8999999999996"/>
    <x v="0"/>
    <s v="Completed"/>
  </r>
  <r>
    <x v="461"/>
    <x v="327"/>
    <d v="2025-05-26T00:00:00"/>
    <n v="1"/>
    <s v="CUST-3659"/>
    <s v="Neha Gupta"/>
    <s v="Corporate"/>
    <x v="2"/>
    <x v="5"/>
    <s v="Vijayawada"/>
    <x v="0"/>
    <s v="Paper"/>
    <s v="Max Paper 700"/>
    <x v="3"/>
    <n v="3"/>
    <n v="3378.15"/>
    <n v="0.15"/>
    <n v="8614.2800000000007"/>
    <n v="7052.08"/>
    <n v="1562.2"/>
    <x v="0"/>
    <s v="Completed"/>
  </r>
  <r>
    <x v="462"/>
    <x v="294"/>
    <d v="2024-09-25T00:00:00"/>
    <n v="2"/>
    <s v="CUST-6594"/>
    <s v="Aarav Sharma"/>
    <s v="Home Office"/>
    <x v="0"/>
    <x v="18"/>
    <s v="New Delhi"/>
    <x v="0"/>
    <s v="Binders"/>
    <s v="Pro Binders 404"/>
    <x v="2"/>
    <n v="2"/>
    <n v="1275.1400000000001"/>
    <n v="0.2"/>
    <n v="2040.22"/>
    <n v="1395.71"/>
    <n v="644.51"/>
    <x v="0"/>
    <s v="Completed"/>
  </r>
  <r>
    <x v="463"/>
    <x v="195"/>
    <d v="2025-08-02T00:00:00"/>
    <n v="31"/>
    <s v="CUST-2626"/>
    <s v="Arjun Bose"/>
    <s v="Corporate"/>
    <x v="3"/>
    <x v="4"/>
    <s v="Indore"/>
    <x v="2"/>
    <s v="Phones"/>
    <s v="Eco Phones 208"/>
    <x v="3"/>
    <n v="4"/>
    <n v="889.5"/>
    <n v="0.2"/>
    <n v="2846.4"/>
    <n v="2132.37"/>
    <n v="714.03"/>
    <x v="0"/>
    <s v="Completed"/>
  </r>
  <r>
    <x v="464"/>
    <x v="328"/>
    <d v="2025-03-15T00:00:00"/>
    <n v="-233"/>
    <s v="CUST-7362"/>
    <s v="Arjun Bose"/>
    <s v="Corporate"/>
    <x v="1"/>
    <x v="9"/>
    <s v="Patna"/>
    <x v="0"/>
    <s v="Paper"/>
    <s v="Elite Paper 106"/>
    <x v="1"/>
    <n v="3"/>
    <n v="3625.08"/>
    <n v="0.05"/>
    <n v="10331.48"/>
    <n v="7131.91"/>
    <n v="3199.57"/>
    <x v="2"/>
    <s v="Cancelled"/>
  </r>
  <r>
    <x v="465"/>
    <x v="329"/>
    <d v="2024-06-02T00:00:00"/>
    <n v="125"/>
    <s v="CUST-1748"/>
    <s v="Aarav Sharma"/>
    <s v="Small Business"/>
    <x v="3"/>
    <x v="4"/>
    <s v="Indore"/>
    <x v="0"/>
    <s v="Labels"/>
    <s v="Eco Labels 914"/>
    <x v="3"/>
    <n v="2"/>
    <n v="1258.9000000000001"/>
    <n v="0"/>
    <n v="2517.8000000000002"/>
    <n v="1478.54"/>
    <n v="1039.26"/>
    <x v="0"/>
    <s v="Completed"/>
  </r>
  <r>
    <x v="466"/>
    <x v="330"/>
    <d v="2024-01-08T00:00:00"/>
    <n v="-84"/>
    <s v="CUST-2725"/>
    <s v="Mira Das"/>
    <s v="Small Business"/>
    <x v="1"/>
    <x v="9"/>
    <s v="Patna"/>
    <x v="2"/>
    <s v="Accessories"/>
    <s v="Max Accessories 486"/>
    <x v="1"/>
    <n v="9"/>
    <n v="1591.96"/>
    <n v="0.2"/>
    <n v="11462.11"/>
    <n v="7105.48"/>
    <n v="4356.63"/>
    <x v="0"/>
    <s v="Completed"/>
  </r>
  <r>
    <x v="467"/>
    <x v="331"/>
    <d v="2024-08-21T00:00:00"/>
    <n v="1"/>
    <s v="CUST-9470"/>
    <s v="Aditi Sen"/>
    <s v="Corporate"/>
    <x v="1"/>
    <x v="1"/>
    <s v="Bhubaneswar"/>
    <x v="2"/>
    <s v="Copiers"/>
    <s v="Max Copiers 867"/>
    <x v="2"/>
    <n v="5"/>
    <n v="4288.33"/>
    <n v="0.1"/>
    <n v="19297.490000000002"/>
    <n v="15451.66"/>
    <n v="3845.83"/>
    <x v="1"/>
    <s v="Cancelled"/>
  </r>
  <r>
    <x v="468"/>
    <x v="332"/>
    <d v="2025-07-01T00:00:00"/>
    <n v="-62"/>
    <s v="CUST-4176"/>
    <s v="Aarav Sharma"/>
    <s v="Home Office"/>
    <x v="1"/>
    <x v="6"/>
    <s v="Kolkata"/>
    <x v="0"/>
    <s v="Binders"/>
    <s v="Pro Binders 555"/>
    <x v="0"/>
    <n v="3"/>
    <n v="2188.33"/>
    <n v="0"/>
    <n v="6564.99"/>
    <n v="5407.24"/>
    <n v="1157.75"/>
    <x v="0"/>
    <s v="Completed"/>
  </r>
  <r>
    <x v="469"/>
    <x v="333"/>
    <d v="2024-01-25T00:00:00"/>
    <n v="6"/>
    <s v="CUST-3448"/>
    <s v="Aditi Sen"/>
    <s v="Corporate"/>
    <x v="3"/>
    <x v="14"/>
    <s v="Panaji"/>
    <x v="2"/>
    <s v="Copiers"/>
    <s v="Pro Copiers 971"/>
    <x v="2"/>
    <n v="3"/>
    <n v="1041.6600000000001"/>
    <n v="0.1"/>
    <n v="2812.48"/>
    <n v="2282.12"/>
    <n v="530.36"/>
    <x v="0"/>
    <s v="Completed"/>
  </r>
  <r>
    <x v="470"/>
    <x v="334"/>
    <d v="2024-07-31T00:00:00"/>
    <n v="3"/>
    <s v="CUST-4970"/>
    <s v="Aditi Sen"/>
    <s v="Consumer"/>
    <x v="0"/>
    <x v="0"/>
    <s v="Jaipur"/>
    <x v="1"/>
    <s v="Tables"/>
    <s v="Pro Tables 833"/>
    <x v="1"/>
    <n v="2"/>
    <n v="4424.78"/>
    <n v="0.2"/>
    <n v="7079.65"/>
    <n v="4465.91"/>
    <n v="2613.7399999999998"/>
    <x v="0"/>
    <s v="Completed"/>
  </r>
  <r>
    <x v="471"/>
    <x v="68"/>
    <d v="2024-02-15T00:00:00"/>
    <n v="-261"/>
    <s v="CUST-6147"/>
    <s v="Kabir Singh"/>
    <s v="Consumer"/>
    <x v="2"/>
    <x v="2"/>
    <s v="Hyderabad"/>
    <x v="0"/>
    <s v="Binders"/>
    <s v="Prime Binders 497"/>
    <x v="3"/>
    <n v="3"/>
    <n v="3019.14"/>
    <n v="0.25"/>
    <n v="6793.07"/>
    <n v="4985.22"/>
    <n v="1807.85"/>
    <x v="0"/>
    <s v="Completed"/>
  </r>
  <r>
    <x v="472"/>
    <x v="335"/>
    <d v="2024-03-07T00:00:00"/>
    <n v="33"/>
    <s v="CUST-7208"/>
    <s v="Rohan Mehta"/>
    <s v="Corporate"/>
    <x v="1"/>
    <x v="1"/>
    <s v="Bhubaneswar"/>
    <x v="0"/>
    <s v="Storage"/>
    <s v="Pro Storage 756"/>
    <x v="3"/>
    <n v="7"/>
    <n v="263.45999999999998"/>
    <n v="0"/>
    <n v="1844.22"/>
    <n v="1094.21"/>
    <n v="750.01"/>
    <x v="0"/>
    <s v="Completed"/>
  </r>
  <r>
    <x v="473"/>
    <x v="336"/>
    <d v="2024-11-13T00:00:00"/>
    <n v="0"/>
    <s v="CUST-2794"/>
    <s v="Priya Menon"/>
    <s v="Consumer"/>
    <x v="3"/>
    <x v="14"/>
    <s v="Panaji"/>
    <x v="2"/>
    <s v="Copiers"/>
    <s v="Max Copiers 829"/>
    <x v="3"/>
    <n v="6"/>
    <n v="191.45"/>
    <n v="0.2"/>
    <n v="918.96"/>
    <n v="554.17999999999995"/>
    <n v="364.78"/>
    <x v="0"/>
    <s v="Completed"/>
  </r>
  <r>
    <x v="474"/>
    <x v="236"/>
    <d v="2024-10-06T00:00:00"/>
    <n v="214"/>
    <s v="CUST-6249"/>
    <s v="Diya Patel"/>
    <s v="Corporate"/>
    <x v="0"/>
    <x v="7"/>
    <s v="Ludhiana"/>
    <x v="1"/>
    <s v="Furnishings"/>
    <s v="Prime Furnishings 827"/>
    <x v="3"/>
    <n v="3"/>
    <n v="1633.57"/>
    <n v="0"/>
    <n v="4900.71"/>
    <n v="2713.9"/>
    <n v="2186.81"/>
    <x v="0"/>
    <s v="Completed"/>
  </r>
  <r>
    <x v="475"/>
    <x v="337"/>
    <d v="2025-08-03T00:00:00"/>
    <n v="155"/>
    <s v="CUST-5712"/>
    <s v="Vikram Iyer"/>
    <s v="Consumer"/>
    <x v="1"/>
    <x v="6"/>
    <s v="Kolkata"/>
    <x v="1"/>
    <s v="Chairs"/>
    <s v="Eco Chairs 365"/>
    <x v="1"/>
    <n v="8"/>
    <n v="3378.82"/>
    <n v="0.25"/>
    <n v="20272.919999999998"/>
    <n v="15873.38"/>
    <n v="4399.54"/>
    <x v="2"/>
    <s v="Returned"/>
  </r>
  <r>
    <x v="476"/>
    <x v="186"/>
    <d v="2024-05-14T00:00:00"/>
    <n v="7"/>
    <s v="CUST-3004"/>
    <s v="Sneha Kapoor"/>
    <s v="Small Business"/>
    <x v="0"/>
    <x v="0"/>
    <s v="Jaipur"/>
    <x v="0"/>
    <s v="Storage"/>
    <s v="Classic Storage 545"/>
    <x v="2"/>
    <n v="3"/>
    <n v="383.58"/>
    <n v="0.1"/>
    <n v="1035.67"/>
    <n v="595.41999999999996"/>
    <n v="440.25"/>
    <x v="0"/>
    <s v="Completed"/>
  </r>
  <r>
    <x v="477"/>
    <x v="100"/>
    <d v="2025-08-28T00:00:00"/>
    <n v="5"/>
    <s v="CUST-6920"/>
    <s v="Vikram Iyer"/>
    <s v="Corporate"/>
    <x v="3"/>
    <x v="12"/>
    <s v="Ahmedabad"/>
    <x v="1"/>
    <s v="Chairs"/>
    <s v="Pro Chairs 186"/>
    <x v="3"/>
    <n v="6"/>
    <n v="2193.23"/>
    <n v="0.1"/>
    <n v="11843.44"/>
    <n v="9356.8799999999992"/>
    <n v="2486.56"/>
    <x v="0"/>
    <s v="Cancelled"/>
  </r>
  <r>
    <x v="478"/>
    <x v="338"/>
    <d v="2024-06-13T00:00:00"/>
    <n v="4"/>
    <s v="CUST-4838"/>
    <s v="Mira Das"/>
    <s v="Home Office"/>
    <x v="4"/>
    <x v="8"/>
    <s v="Noida"/>
    <x v="2"/>
    <s v="Machines"/>
    <s v="Classic Machines 561"/>
    <x v="1"/>
    <n v="7"/>
    <n v="4079.71"/>
    <n v="0.1"/>
    <n v="25702.17"/>
    <n v="14571.48"/>
    <n v="11130.69"/>
    <x v="1"/>
    <s v="Returned"/>
  </r>
  <r>
    <x v="479"/>
    <x v="339"/>
    <d v="2024-02-20T00:00:00"/>
    <n v="-3"/>
    <s v="CUST-7520"/>
    <s v="Arjun Bose"/>
    <s v="Corporate"/>
    <x v="1"/>
    <x v="1"/>
    <s v="Bhubaneswar"/>
    <x v="1"/>
    <s v="Chairs"/>
    <s v="Max Chairs 594"/>
    <x v="0"/>
    <n v="1"/>
    <n v="2202.5500000000002"/>
    <m/>
    <n v="1651.91"/>
    <n v="1034.57"/>
    <n v="617.34"/>
    <x v="0"/>
    <s v="Completed"/>
  </r>
  <r>
    <x v="480"/>
    <x v="53"/>
    <d v="2025-09-01T00:00:00"/>
    <n v="123"/>
    <s v="CUST-9947"/>
    <s v="Neha Gupta"/>
    <s v="Small Business"/>
    <x v="2"/>
    <x v="17"/>
    <s v="Chennai"/>
    <x v="0"/>
    <s v="Storage"/>
    <s v="Eco Storage 923"/>
    <x v="4"/>
    <n v="5"/>
    <n v="905.16"/>
    <n v="0"/>
    <n v="4525.8"/>
    <n v="2714.51"/>
    <n v="1811.29"/>
    <x v="0"/>
    <s v="Completed"/>
  </r>
  <r>
    <x v="481"/>
    <x v="340"/>
    <d v="2025-06-13T00:00:00"/>
    <n v="38"/>
    <s v="CUST-4403"/>
    <s v="Isha Nair"/>
    <s v="Consumer"/>
    <x v="0"/>
    <x v="8"/>
    <s v="Noida"/>
    <x v="2"/>
    <s v="Machines"/>
    <s v="Classic Machines 287"/>
    <x v="1"/>
    <n v="4"/>
    <n v="2793.88"/>
    <s v="85%"/>
    <n v="10616.74"/>
    <n v="6353.59"/>
    <n v="4263.1499999999996"/>
    <x v="0"/>
    <s v="Completed"/>
  </r>
  <r>
    <x v="482"/>
    <x v="11"/>
    <d v="2024-07-22T00:00:00"/>
    <n v="0"/>
    <s v="CUST-3583"/>
    <s v="Priya Menon"/>
    <s v="Consumer"/>
    <x v="2"/>
    <x v="11"/>
    <s v="Bengaluru"/>
    <x v="2"/>
    <s v="Accessories"/>
    <s v="Basic Accessories 518"/>
    <x v="0"/>
    <n v="3"/>
    <n v="1286.22"/>
    <n v="0.25"/>
    <n v="2893.99"/>
    <n v="1856.03"/>
    <n v="1037.96"/>
    <x v="0"/>
    <s v="Completed"/>
  </r>
  <r>
    <x v="483"/>
    <x v="341"/>
    <d v="2024-12-25T00:00:00"/>
    <n v="0"/>
    <s v="CUST-9432"/>
    <s v="Mira Das"/>
    <s v="Corporate"/>
    <x v="1"/>
    <x v="9"/>
    <s v="Patna"/>
    <x v="2"/>
    <s v="Copiers"/>
    <s v="Pro Copiers 984"/>
    <x v="3"/>
    <n v="1"/>
    <n v="829.66"/>
    <n v="0.15"/>
    <n v="705.21"/>
    <n v="438.32"/>
    <n v="266.89"/>
    <x v="0"/>
    <s v="Completed"/>
  </r>
  <r>
    <x v="484"/>
    <x v="342"/>
    <d v="2024-12-31T00:00:00"/>
    <n v="3"/>
    <s v="CUST-1801"/>
    <s v="Mira Das"/>
    <s v="Small Business"/>
    <x v="2"/>
    <x v="5"/>
    <s v="Vijayawada"/>
    <x v="1"/>
    <s v="Furnishings"/>
    <s v="Max Furnishings 297"/>
    <x v="2"/>
    <n v="6"/>
    <n v="3641.22"/>
    <n v="0.25"/>
    <n v="16385.490000000002"/>
    <n v="13679.24"/>
    <n v="2706.25"/>
    <x v="0"/>
    <s v="Completed"/>
  </r>
  <r>
    <x v="485"/>
    <x v="343"/>
    <d v="2025-01-23T00:00:00"/>
    <n v="1"/>
    <s v="CUST-1594"/>
    <s v="Rahul Verma"/>
    <s v="Corporate"/>
    <x v="3"/>
    <x v="14"/>
    <s v="Panaji"/>
    <x v="1"/>
    <s v="Bookcases"/>
    <s v="Elite Bookcases 802"/>
    <x v="3"/>
    <n v="4"/>
    <n v="2555.19"/>
    <n v="0.25"/>
    <n v="7665.57"/>
    <n v="5595.6"/>
    <n v="2069.9699999999998"/>
    <x v="0"/>
    <s v="Completed"/>
  </r>
  <r>
    <x v="486"/>
    <x v="255"/>
    <d v="2025-06-26T00:00:00"/>
    <n v="4"/>
    <s v="CUST-8132"/>
    <s v="Rahul Verma"/>
    <s v="Corporate"/>
    <x v="3"/>
    <x v="14"/>
    <s v="Panaji"/>
    <x v="1"/>
    <s v="Tables"/>
    <s v="Pro Tables 257"/>
    <x v="3"/>
    <n v="3"/>
    <n v="1946.18"/>
    <n v="0.2"/>
    <n v="4670.83"/>
    <n v="3166.49"/>
    <n v="1504.34"/>
    <x v="0"/>
    <s v="Completed"/>
  </r>
  <r>
    <x v="487"/>
    <x v="344"/>
    <d v="2025-06-17T00:00:00"/>
    <n v="-111"/>
    <s v="CUST-7685"/>
    <s v="Rahul Verma"/>
    <s v="Corporate"/>
    <x v="2"/>
    <x v="2"/>
    <s v="Hyderabad"/>
    <x v="1"/>
    <s v="Furnishings"/>
    <s v="Prime Furnishings 299"/>
    <x v="3"/>
    <n v="5"/>
    <n v="1231.0999999999999"/>
    <n v="0"/>
    <n v="6155.5"/>
    <n v="4282.09"/>
    <n v="1873.41"/>
    <x v="1"/>
    <s v="Returned"/>
  </r>
  <r>
    <x v="488"/>
    <x v="190"/>
    <d v="2024-10-20T00:00:00"/>
    <n v="6"/>
    <s v="CUST-2183"/>
    <s v="Aditi Sen"/>
    <s v="Small Business"/>
    <x v="0"/>
    <x v="0"/>
    <s v="Jaipur"/>
    <x v="1"/>
    <s v="Tables"/>
    <s v="Eco Tables 487"/>
    <x v="1"/>
    <n v="7"/>
    <n v="1547.6"/>
    <n v="0.2"/>
    <n v="8666.56"/>
    <n v="5967.44"/>
    <n v="2699.12"/>
    <x v="0"/>
    <s v="Completed"/>
  </r>
  <r>
    <x v="489"/>
    <x v="54"/>
    <d v="2024-12-02T00:00:00"/>
    <n v="153"/>
    <s v="CUST-1636"/>
    <s v="Arjun Bose"/>
    <s v="Home Office"/>
    <x v="1"/>
    <x v="6"/>
    <s v="Kolkata"/>
    <x v="2"/>
    <s v="Accessories"/>
    <s v="Prime Accessories 960"/>
    <x v="0"/>
    <n v="1"/>
    <n v="452.19"/>
    <n v="0.2"/>
    <n v="361.75"/>
    <n v="262.52999999999997"/>
    <n v="99.22"/>
    <x v="0"/>
    <s v="Completed"/>
  </r>
  <r>
    <x v="490"/>
    <x v="345"/>
    <d v="2024-09-19T00:00:00"/>
    <n v="3"/>
    <s v="CUST-1350"/>
    <s v="Aditi Sen"/>
    <s v="Consumer"/>
    <x v="3"/>
    <x v="0"/>
    <s v="Udaipur"/>
    <x v="0"/>
    <s v="Binders"/>
    <s v="Smart Binders 191"/>
    <x v="2"/>
    <n v="7"/>
    <n v="406.42"/>
    <n v="0.15"/>
    <n v="2418.1999999999998"/>
    <n v="1613.82"/>
    <n v="804.38"/>
    <x v="0"/>
    <s v="Completed"/>
  </r>
  <r>
    <x v="491"/>
    <x v="181"/>
    <d v="2025-04-30T00:00:00"/>
    <n v="1"/>
    <s v="CUST-4101"/>
    <s v="Mira Das"/>
    <s v="Corporate"/>
    <x v="2"/>
    <x v="13"/>
    <s v="Kochi"/>
    <x v="2"/>
    <s v="Accessories"/>
    <s v="Prime Accessories 118"/>
    <x v="3"/>
    <n v="4"/>
    <n v="606.58000000000004"/>
    <n v="0.2"/>
    <n v="1941.06"/>
    <n v="1207.42"/>
    <n v="733.64"/>
    <x v="0"/>
    <s v="Completed"/>
  </r>
  <r>
    <x v="492"/>
    <x v="187"/>
    <d v="2025-07-02T00:00:00"/>
    <n v="4"/>
    <s v="CUST-4679"/>
    <s v="Ananya Rao"/>
    <s v="Corporate"/>
    <x v="2"/>
    <x v="5"/>
    <s v="Vijayawada"/>
    <x v="0"/>
    <s v="Storage"/>
    <s v="Elite Storage 331"/>
    <x v="0"/>
    <n v="2"/>
    <n v="2725.44"/>
    <n v="0.25"/>
    <n v="4088.16"/>
    <n v="3205.68"/>
    <n v="882.48"/>
    <x v="0"/>
    <s v="Completed"/>
  </r>
  <r>
    <x v="493"/>
    <x v="221"/>
    <d v="2025-02-13T00:00:00"/>
    <n v="0"/>
    <s v="CUST-3765"/>
    <s v="Kabir Singh"/>
    <s v="Corporate"/>
    <x v="1"/>
    <x v="1"/>
    <s v="Bhubaneswar"/>
    <x v="0"/>
    <s v="Paper"/>
    <s v="Prime Paper 996"/>
    <x v="0"/>
    <n v="7"/>
    <n v="2296.6999999999998"/>
    <n v="0.05"/>
    <n v="15273.05"/>
    <n v="11088.76"/>
    <n v="4184.29"/>
    <x v="0"/>
    <s v="Completed"/>
  </r>
  <r>
    <x v="494"/>
    <x v="214"/>
    <d v="2024-11-22T00:00:00"/>
    <n v="8"/>
    <s v="CUST-9056"/>
    <s v="Isha Nair"/>
    <s v="Consumer"/>
    <x v="3"/>
    <x v="4"/>
    <s v="Indore"/>
    <x v="2"/>
    <s v="Phones"/>
    <s v="Smart Phones 125"/>
    <x v="3"/>
    <n v="3"/>
    <n v="671.68"/>
    <n v="-0.13"/>
    <n v="1712.78"/>
    <n v="1569.38"/>
    <n v="360.66"/>
    <x v="3"/>
    <s v="Cancelled"/>
  </r>
  <r>
    <x v="495"/>
    <x v="82"/>
    <d v="2024-05-15T00:00:00"/>
    <n v="6"/>
    <s v="CUST-9801"/>
    <s v="Mira Das"/>
    <s v="Small Business"/>
    <x v="1"/>
    <x v="10"/>
    <s v="Guwahati"/>
    <x v="2"/>
    <s v="Phones"/>
    <s v="Eco Phones 220"/>
    <x v="0"/>
    <n v="4"/>
    <n v="995.98"/>
    <n v="0.05"/>
    <n v="3784.72"/>
    <n v="2419.2399999999998"/>
    <n v="1365.48"/>
    <x v="1"/>
    <s v="Returned"/>
  </r>
  <r>
    <x v="496"/>
    <x v="346"/>
    <d v="2025-06-07T00:00:00"/>
    <n v="61"/>
    <s v="CUST-2038"/>
    <s v="Kabir Singh"/>
    <s v="Small Business"/>
    <x v="1"/>
    <x v="15"/>
    <s v="Ranchi"/>
    <x v="1"/>
    <s v="Chairs"/>
    <s v="Eco Chairs 795"/>
    <x v="0"/>
    <n v="2"/>
    <n v="3686.42"/>
    <n v="0.1"/>
    <n v="6635.56"/>
    <n v="3652.91"/>
    <n v="2982.65"/>
    <x v="0"/>
    <s v="Completed"/>
  </r>
  <r>
    <x v="497"/>
    <x v="296"/>
    <d v="2024-08-29T00:00:00"/>
    <n v="0"/>
    <s v="CUST-1567"/>
    <s v="Sneha Kapoor"/>
    <s v="Small Business"/>
    <x v="0"/>
    <x v="8"/>
    <s v="Noida"/>
    <x v="2"/>
    <s v="Accessories"/>
    <s v="Smart Accessories 896"/>
    <x v="0"/>
    <n v="1"/>
    <n v="3106.88"/>
    <n v="0.2"/>
    <n v="2485.5"/>
    <n v="2028.43"/>
    <n v="457.07"/>
    <x v="0"/>
    <s v="Cancelled"/>
  </r>
  <r>
    <x v="498"/>
    <x v="9"/>
    <d v="2025-10-09T00:00:00"/>
    <n v="92"/>
    <s v="CUST-1190"/>
    <s v="Karan Malhotra"/>
    <s v="Consumer"/>
    <x v="0"/>
    <x v="7"/>
    <s v="Ludhiana"/>
    <x v="1"/>
    <s v="Chairs"/>
    <s v="Basic Chairs 255"/>
    <x v="1"/>
    <n v="2"/>
    <n v="447.55"/>
    <n v="0.05"/>
    <n v="850.35"/>
    <n v="600.98"/>
    <n v="249.37"/>
    <x v="1"/>
    <s v="Cancelled"/>
  </r>
  <r>
    <x v="499"/>
    <x v="347"/>
    <d v="2024-12-26T00:00:00"/>
    <n v="4"/>
    <s v="CUST-5604"/>
    <s v="Rahul Verma"/>
    <s v="Home Office"/>
    <x v="0"/>
    <x v="8"/>
    <s v="Noida"/>
    <x v="1"/>
    <s v="Chairs"/>
    <s v="Eco Chairs 210"/>
    <x v="3"/>
    <n v="9"/>
    <n v="1110.8699999999999"/>
    <m/>
    <n v="7498.37"/>
    <n v="6059.07"/>
    <n v="1439.3"/>
    <x v="0"/>
    <s v="Cancelled"/>
  </r>
  <r>
    <x v="500"/>
    <x v="348"/>
    <d v="2024-05-22T00:00:00"/>
    <n v="5"/>
    <s v="CUST-7661"/>
    <s v="Sneha Kapoor"/>
    <s v="Consumer"/>
    <x v="2"/>
    <x v="13"/>
    <s v="Kochi"/>
    <x v="2"/>
    <s v="Phones"/>
    <s v="Prime Phones 533"/>
    <x v="1"/>
    <n v="9"/>
    <n v="3795.99"/>
    <s v="85%"/>
    <n v="34163.910000000003"/>
    <n v="28577.15"/>
    <n v="5586.76"/>
    <x v="0"/>
    <s v="Completed"/>
  </r>
  <r>
    <x v="501"/>
    <x v="349"/>
    <d v="2024-08-17T00:00:00"/>
    <n v="-83"/>
    <s v="CUST-3710"/>
    <s v="Neha Gupta"/>
    <s v="Consumer"/>
    <x v="1"/>
    <x v="15"/>
    <s v="Ranchi"/>
    <x v="0"/>
    <s v="Art"/>
    <s v="Elite Art 325"/>
    <x v="0"/>
    <n v="6"/>
    <n v="3497.54"/>
    <n v="0.15"/>
    <n v="17837.45"/>
    <n v="13627.02"/>
    <n v="4210.43"/>
    <x v="0"/>
    <s v="Completed"/>
  </r>
  <r>
    <x v="502"/>
    <x v="330"/>
    <d v="2024-09-04T00:00:00"/>
    <n v="156"/>
    <s v="CUST-1534"/>
    <s v="Priya Menon"/>
    <s v="Small Business"/>
    <x v="1"/>
    <x v="1"/>
    <s v="Bhubaneswar"/>
    <x v="2"/>
    <s v="Copiers"/>
    <s v="Prime Copiers 557"/>
    <x v="0"/>
    <n v="6"/>
    <n v="826.93"/>
    <n v="0.1"/>
    <n v="4465.42"/>
    <n v="3377.1"/>
    <n v="1088.32"/>
    <x v="0"/>
    <s v="Completed"/>
  </r>
  <r>
    <x v="503"/>
    <x v="350"/>
    <d v="2024-05-10T00:00:00"/>
    <n v="-141"/>
    <s v="CUST-7422"/>
    <s v="Aarav Sharma"/>
    <s v="Consumer"/>
    <x v="2"/>
    <x v="17"/>
    <s v="Chennai"/>
    <x v="2"/>
    <s v="Phones"/>
    <s v="Smart Phones 674"/>
    <x v="3"/>
    <n v="7"/>
    <n v="1681.6"/>
    <n v="0.1"/>
    <n v="10594.08"/>
    <n v="7160.31"/>
    <n v="3433.77"/>
    <x v="0"/>
    <s v="Completed"/>
  </r>
  <r>
    <x v="504"/>
    <x v="351"/>
    <d v="2025-02-17T00:00:00"/>
    <n v="-288"/>
    <s v="CUST-9693"/>
    <s v="Arjun Bose"/>
    <s v="Corporate"/>
    <x v="3"/>
    <x v="12"/>
    <s v="Ahmedabad"/>
    <x v="0"/>
    <s v="Art"/>
    <s v="Elite Art 553"/>
    <x v="3"/>
    <n v="4"/>
    <n v="4328.12"/>
    <n v="0"/>
    <n v="17312.48"/>
    <n v="14424.22"/>
    <n v="2888.26"/>
    <x v="0"/>
    <s v="Completed"/>
  </r>
  <r>
    <x v="505"/>
    <x v="352"/>
    <d v="2024-11-14T00:00:00"/>
    <n v="64"/>
    <s v="CUST-5458"/>
    <s v="Neha Gupta"/>
    <s v="Corporate"/>
    <x v="3"/>
    <x v="4"/>
    <s v="Indore"/>
    <x v="0"/>
    <s v="Art"/>
    <s v="Classic Art 339"/>
    <x v="2"/>
    <n v="9"/>
    <n v="2438.29"/>
    <n v="0.2"/>
    <n v="17555.689999999999"/>
    <n v="13293.2"/>
    <n v="4262.49"/>
    <x v="0"/>
    <s v="Cancelled"/>
  </r>
  <r>
    <x v="506"/>
    <x v="353"/>
    <d v="2024-12-15T00:00:00"/>
    <n v="0"/>
    <s v="CUST-3011"/>
    <s v="Aarav Sharma"/>
    <s v="Small Business"/>
    <x v="0"/>
    <x v="7"/>
    <s v="Ludhiana"/>
    <x v="1"/>
    <s v="Furnishings"/>
    <s v="Smart Furnishings 352"/>
    <x v="2"/>
    <n v="2"/>
    <n v="669.8"/>
    <n v="0.1"/>
    <n v="1205.6400000000001"/>
    <n v="842.07"/>
    <n v="363.57"/>
    <x v="1"/>
    <s v="Returned"/>
  </r>
  <r>
    <x v="507"/>
    <x v="354"/>
    <d v="2025-04-22T00:00:00"/>
    <n v="7"/>
    <s v="CUST-1826"/>
    <s v="Isha Nair"/>
    <s v="Small Business"/>
    <x v="0"/>
    <x v="16"/>
    <s v="Gurugram"/>
    <x v="0"/>
    <s v="Binders"/>
    <s v="Classic Binders 602"/>
    <x v="1"/>
    <n v="4"/>
    <n v="2990.42"/>
    <n v="0.25"/>
    <n v="8971.26"/>
    <n v="6814.35"/>
    <n v="2156.91"/>
    <x v="0"/>
    <s v="Completed"/>
  </r>
  <r>
    <x v="508"/>
    <x v="355"/>
    <d v="2024-07-04T00:00:00"/>
    <n v="95"/>
    <s v="CUST-3333"/>
    <s v="Isha Nair"/>
    <s v="Small Business"/>
    <x v="0"/>
    <x v="16"/>
    <s v="Gurugram"/>
    <x v="2"/>
    <s v="Machines"/>
    <s v="Smart Machines 853"/>
    <x v="0"/>
    <n v="4"/>
    <n v="1831"/>
    <n v="0"/>
    <n v="7324"/>
    <n v="4179.63"/>
    <n v="3144.37"/>
    <x v="0"/>
    <s v="Completed"/>
  </r>
  <r>
    <x v="509"/>
    <x v="252"/>
    <d v="2025-05-14T00:00:00"/>
    <n v="-205"/>
    <s v="CUST-7901"/>
    <s v="Neha Gupta"/>
    <s v="Consumer"/>
    <x v="3"/>
    <x v="12"/>
    <s v="Ahmedabad"/>
    <x v="2"/>
    <s v="Machines"/>
    <s v="Classic Machines 599"/>
    <x v="1"/>
    <n v="8"/>
    <n v="3631.44"/>
    <n v="0.2"/>
    <n v="23241.22"/>
    <n v="17220.900000000001"/>
    <n v="6020.32"/>
    <x v="0"/>
    <s v="Completed"/>
  </r>
  <r>
    <x v="510"/>
    <x v="101"/>
    <d v="2024-10-21T00:00:00"/>
    <n v="3"/>
    <s v="CUST-9759"/>
    <s v="Aarav  Sharma"/>
    <s v="Consumer"/>
    <x v="2"/>
    <x v="11"/>
    <s v="Bengaluru"/>
    <x v="0"/>
    <s v="Storage"/>
    <s v="Pro Storage 373"/>
    <x v="0"/>
    <n v="2"/>
    <n v="4238.51"/>
    <n v="0"/>
    <n v="8477.02"/>
    <n v="6884.96"/>
    <n v="1592.06"/>
    <x v="0"/>
    <s v="Completed"/>
  </r>
  <r>
    <x v="511"/>
    <x v="356"/>
    <d v="2024-10-26T00:00:00"/>
    <n v="3"/>
    <s v="CUST-7232"/>
    <s v="Sneha Kapoor"/>
    <s v="Consumer"/>
    <x v="3"/>
    <x v="4"/>
    <s v="Indore"/>
    <x v="1"/>
    <s v="Bookcases"/>
    <s v="Smart Bookcases 920"/>
    <x v="3"/>
    <n v="9"/>
    <n v="544.27"/>
    <n v="0.25"/>
    <n v="3673.82"/>
    <n v="2088.15"/>
    <n v="1585.67"/>
    <x v="0"/>
    <s v="Completed"/>
  </r>
  <r>
    <x v="512"/>
    <x v="64"/>
    <d v="2025-03-03T00:00:00"/>
    <n v="1"/>
    <s v="CUST-9943"/>
    <s v="Isha Nair"/>
    <s v="Corporate"/>
    <x v="2"/>
    <x v="13"/>
    <s v="Kochi"/>
    <x v="0"/>
    <s v="Labels"/>
    <s v="Pro Labels 849"/>
    <x v="0"/>
    <n v="2"/>
    <n v="4031.45"/>
    <n v="0.25"/>
    <n v="6047.17"/>
    <n v="3368.79"/>
    <n v="2678.38"/>
    <x v="0"/>
    <s v="Completed"/>
  </r>
  <r>
    <x v="513"/>
    <x v="102"/>
    <d v="2025-07-02T00:00:00"/>
    <n v="5"/>
    <s v="CUST-8993"/>
    <s v="Aarav Sharma"/>
    <s v="Corporate"/>
    <x v="2"/>
    <x v="13"/>
    <s v="Kochi"/>
    <x v="2"/>
    <s v="Accessories"/>
    <s v="Prime Accessories 849"/>
    <x v="2"/>
    <n v="6"/>
    <n v="1099.49"/>
    <n v="0.1"/>
    <n v="6212.38"/>
    <n v="4088.46"/>
    <n v="1848.79"/>
    <x v="0"/>
    <s v="Completed"/>
  </r>
  <r>
    <x v="514"/>
    <x v="357"/>
    <d v="2024-11-22T00:00:00"/>
    <n v="4"/>
    <s v="CUST-7729"/>
    <s v="Karan Malhotra"/>
    <s v="Home Office"/>
    <x v="2"/>
    <x v="13"/>
    <s v="Kochi"/>
    <x v="2"/>
    <s v="Accessories"/>
    <s v="Smart Accessories 388"/>
    <x v="3"/>
    <n v="6"/>
    <n v="3872.94"/>
    <n v="0.1"/>
    <n v="20913.88"/>
    <n v="11684.68"/>
    <n v="9229.2000000000007"/>
    <x v="0"/>
    <s v="Completed"/>
  </r>
  <r>
    <x v="515"/>
    <x v="310"/>
    <d v="2025-11-04T00:00:00"/>
    <n v="207"/>
    <s v="CUST-9986"/>
    <s v="Rahul Verma"/>
    <s v="Corporate"/>
    <x v="0"/>
    <x v="18"/>
    <s v="New Delhi"/>
    <x v="0"/>
    <s v="Paper"/>
    <s v="Classic Paper 752"/>
    <x v="3"/>
    <n v="1"/>
    <n v="4458.49"/>
    <n v="-7.0000000000000007E-2"/>
    <n v="3566.79"/>
    <n v="2083.41"/>
    <n v="1483.38"/>
    <x v="0"/>
    <s v="Completed"/>
  </r>
  <r>
    <x v="516"/>
    <x v="350"/>
    <d v="2024-04-10T00:00:00"/>
    <n v="-171"/>
    <s v="CUST-2731"/>
    <s v="Kabir Singh"/>
    <s v="Home Office"/>
    <x v="0"/>
    <x v="18"/>
    <s v="New Delhi"/>
    <x v="2"/>
    <s v="Copiers"/>
    <s v="Classic Copiers 143"/>
    <x v="3"/>
    <n v="1"/>
    <n v="2233.1799999999998"/>
    <n v="0"/>
    <n v="2233.1799999999998"/>
    <n v="1585.82"/>
    <n v="647.36"/>
    <x v="3"/>
    <s v="Returned"/>
  </r>
  <r>
    <x v="517"/>
    <x v="327"/>
    <d v="2025-05-27T00:00:00"/>
    <n v="2"/>
    <s v="CUST-4235"/>
    <s v="Rahul Verma"/>
    <s v="Consumer"/>
    <x v="1"/>
    <x v="1"/>
    <s v="Bhubaneswar"/>
    <x v="1"/>
    <s v="Furnishings"/>
    <s v="Basic Furnishings 386"/>
    <x v="0"/>
    <n v="7"/>
    <n v="2123.2800000000002"/>
    <n v="0.2"/>
    <n v="11890.37"/>
    <n v="9234.5300000000007"/>
    <n v="2655.84"/>
    <x v="1"/>
    <s v="Returned"/>
  </r>
  <r>
    <x v="518"/>
    <x v="358"/>
    <d v="2025-04-26T00:00:00"/>
    <n v="-4"/>
    <s v="CUST-3377"/>
    <s v="Diya Patel"/>
    <s v="Corporate"/>
    <x v="1"/>
    <x v="1"/>
    <s v="Bhubaneswar"/>
    <x v="1"/>
    <s v="Tables"/>
    <s v="Classic Tables 592"/>
    <x v="2"/>
    <n v="7"/>
    <n v="1604.13"/>
    <n v="0.25"/>
    <n v="8421.68"/>
    <n v="6534.47"/>
    <n v="1887.21"/>
    <x v="0"/>
    <s v="Cancelled"/>
  </r>
  <r>
    <x v="519"/>
    <x v="359"/>
    <d v="2025-07-07T00:00:00"/>
    <n v="122"/>
    <s v="CUST-3258"/>
    <s v="Priya Menon"/>
    <s v="Consumer"/>
    <x v="0"/>
    <x v="8"/>
    <s v="Noida"/>
    <x v="1"/>
    <s v="Tables"/>
    <s v="Pro Tables 412"/>
    <x v="3"/>
    <n v="4"/>
    <n v="4365.21"/>
    <n v="0.2"/>
    <n v="13968.67"/>
    <n v="8857.58"/>
    <n v="5111.09"/>
    <x v="2"/>
    <s v="Cancelled"/>
  </r>
  <r>
    <x v="520"/>
    <x v="360"/>
    <d v="2024-07-23T00:00:00"/>
    <n v="7"/>
    <s v="CUST-2155"/>
    <s v="Aarav Sharma"/>
    <s v="Home Office"/>
    <x v="2"/>
    <x v="11"/>
    <s v="Bengaluru"/>
    <x v="2"/>
    <s v="Machines"/>
    <s v="Prime Machines 393"/>
    <x v="1"/>
    <n v="1"/>
    <n v="1695.91"/>
    <n v="0.05"/>
    <n v="1611.11"/>
    <n v="895.15"/>
    <n v="715.96"/>
    <x v="0"/>
    <s v="Completed"/>
  </r>
  <r>
    <x v="521"/>
    <x v="361"/>
    <d v="2025-01-04T00:00:00"/>
    <n v="-80"/>
    <s v="CUST-8012"/>
    <s v="Diya Patel"/>
    <s v="Consumer"/>
    <x v="0"/>
    <x v="7"/>
    <s v="Ludhiana"/>
    <x v="0"/>
    <s v="Labels"/>
    <s v="Classic Labels 776"/>
    <x v="0"/>
    <n v="6"/>
    <n v="2192.11"/>
    <n v="0.05"/>
    <n v="12495.03"/>
    <n v="9184.52"/>
    <n v="3310.51"/>
    <x v="0"/>
    <s v="Completed"/>
  </r>
  <r>
    <x v="522"/>
    <x v="231"/>
    <d v="2025-08-03T00:00:00"/>
    <n v="156"/>
    <s v="CUST-2917"/>
    <s v="Neha Gupta"/>
    <s v="Small Business"/>
    <x v="1"/>
    <x v="15"/>
    <s v="Ranchi"/>
    <x v="2"/>
    <s v="Phones"/>
    <s v="Max Phones 612"/>
    <x v="2"/>
    <n v="9"/>
    <n v="3670.54"/>
    <n v="0"/>
    <n v="33034.86"/>
    <n v="24539.83"/>
    <n v="8495.0300000000007"/>
    <x v="0"/>
    <s v="Completed"/>
  </r>
  <r>
    <x v="523"/>
    <x v="153"/>
    <d v="2024-03-04T00:00:00"/>
    <n v="29"/>
    <s v="CUST-4653"/>
    <s v="Kabir Singh"/>
    <s v="Home Office"/>
    <x v="3"/>
    <x v="14"/>
    <s v="Panaji"/>
    <x v="0"/>
    <s v="Paper"/>
    <s v="Basic Paper 315"/>
    <x v="0"/>
    <n v="2"/>
    <n v="2902.63"/>
    <n v="0"/>
    <n v="5805.26"/>
    <n v="4654.3599999999997"/>
    <n v="1150.9000000000001"/>
    <x v="0"/>
    <s v="Returned"/>
  </r>
  <r>
    <x v="524"/>
    <x v="110"/>
    <d v="2024-01-12T00:00:00"/>
    <n v="-323"/>
    <s v="CUST-3311"/>
    <s v="Ananya Rao"/>
    <s v="Corporate"/>
    <x v="3"/>
    <x v="12"/>
    <s v="Ahmedabad"/>
    <x v="1"/>
    <s v="Chairs"/>
    <s v="Basic Chairs 333"/>
    <x v="2"/>
    <n v="9"/>
    <n v="4207.3599999999997"/>
    <n v="0.1"/>
    <n v="34079.620000000003"/>
    <n v="21871.39"/>
    <n v="12208.23"/>
    <x v="0"/>
    <s v="Completed"/>
  </r>
  <r>
    <x v="525"/>
    <x v="362"/>
    <d v="2024-10-17T00:00:00"/>
    <n v="0"/>
    <s v="CUST-2924"/>
    <s v="Priya Menon"/>
    <s v="Home Office"/>
    <x v="1"/>
    <x v="6"/>
    <s v="Kolkata"/>
    <x v="1"/>
    <s v="Chairs"/>
    <s v="Prime Chairs 215"/>
    <x v="3"/>
    <n v="5"/>
    <n v="2524.4"/>
    <n v="0.1"/>
    <n v="11359.8"/>
    <n v="7062.44"/>
    <n v="4297.3599999999997"/>
    <x v="0"/>
    <s v="Completed"/>
  </r>
  <r>
    <x v="526"/>
    <x v="363"/>
    <d v="2025-07-21T00:00:00"/>
    <n v="3"/>
    <s v="CUST-7198"/>
    <s v="Priya Menon"/>
    <s v="Consumer"/>
    <x v="1"/>
    <x v="1"/>
    <s v="Bhubaneswar"/>
    <x v="1"/>
    <s v="Tables"/>
    <s v="Elite Tables 815"/>
    <x v="0"/>
    <n v="4"/>
    <n v="284.04000000000002"/>
    <m/>
    <n v="908.93"/>
    <n v="572.08000000000004"/>
    <n v="336.85"/>
    <x v="0"/>
    <s v="Completed"/>
  </r>
  <r>
    <x v="527"/>
    <x v="364"/>
    <d v="2025-05-10T00:00:00"/>
    <n v="120"/>
    <s v="CUST-3419"/>
    <s v="Aditi Sen"/>
    <s v="Home Office"/>
    <x v="0"/>
    <x v="16"/>
    <s v="Gurugram"/>
    <x v="0"/>
    <s v="Paper"/>
    <s v="Basic Paper 388"/>
    <x v="2"/>
    <n v="5"/>
    <n v="3247.56"/>
    <n v="0.15"/>
    <n v="13802.13"/>
    <n v="10075.93"/>
    <n v="3726.2"/>
    <x v="0"/>
    <s v="Completed"/>
  </r>
  <r>
    <x v="528"/>
    <x v="365"/>
    <d v="2024-09-10T00:00:00"/>
    <n v="62"/>
    <s v="CUST-2390"/>
    <s v="Diya Patel"/>
    <s v="Consumer"/>
    <x v="2"/>
    <x v="17"/>
    <s v="Chennai"/>
    <x v="0"/>
    <s v="Binders"/>
    <s v="Eco Binders 855"/>
    <x v="3"/>
    <n v="9"/>
    <n v="3457.09"/>
    <n v="0.05"/>
    <n v="29558.12"/>
    <n v="21302.13"/>
    <n v="8255.99"/>
    <x v="2"/>
    <s v="Returned"/>
  </r>
  <r>
    <x v="529"/>
    <x v="199"/>
    <d v="2024-08-02T00:00:00"/>
    <n v="61"/>
    <s v="CUST-3362"/>
    <s v="Karan Malhotra"/>
    <s v="Consumer"/>
    <x v="1"/>
    <x v="15"/>
    <s v="Ranchi"/>
    <x v="1"/>
    <s v="Bookcases"/>
    <s v="Classic Bookcases 947"/>
    <x v="0"/>
    <n v="9"/>
    <n v="1822.25"/>
    <n v="0"/>
    <n v="16400.25"/>
    <n v="12146.96"/>
    <n v="4253.29"/>
    <x v="0"/>
    <s v="Completed"/>
  </r>
  <r>
    <x v="530"/>
    <x v="51"/>
    <d v="2025-01-06T00:00:00"/>
    <n v="-144"/>
    <s v="CUST-8177"/>
    <s v="Rahul Verma"/>
    <s v="Home Office"/>
    <x v="2"/>
    <x v="17"/>
    <s v="Chennai"/>
    <x v="0"/>
    <s v="Binders"/>
    <s v="Eco Binders 352"/>
    <x v="3"/>
    <n v="9"/>
    <n v="1994.51"/>
    <n v="0.05"/>
    <n v="17053.060000000001"/>
    <n v="10742.38"/>
    <n v="6310.68"/>
    <x v="0"/>
    <s v="Completed"/>
  </r>
  <r>
    <x v="531"/>
    <x v="366"/>
    <d v="2024-08-08T00:00:00"/>
    <n v="213"/>
    <s v="CUST-6357"/>
    <s v="Diya Patel"/>
    <s v="Small Business"/>
    <x v="3"/>
    <x v="3"/>
    <s v="Mumbai"/>
    <x v="0"/>
    <s v="Storage"/>
    <s v="Pro Storage 364"/>
    <x v="4"/>
    <n v="1"/>
    <n v="442.97"/>
    <n v="0.1"/>
    <n v="398.67"/>
    <n v="311.66000000000003"/>
    <n v="87.01"/>
    <x v="0"/>
    <s v="Completed"/>
  </r>
  <r>
    <x v="532"/>
    <x v="367"/>
    <d v="2025-10-10T00:00:00"/>
    <n v="153"/>
    <s v="CUST-7690"/>
    <s v="Priya Menon"/>
    <s v="Corporate"/>
    <x v="1"/>
    <x v="10"/>
    <s v="Guwahati"/>
    <x v="1"/>
    <s v="Tables"/>
    <s v="Classic Tables 213"/>
    <x v="0"/>
    <n v="9"/>
    <n v="2089.14"/>
    <n v="0.05"/>
    <n v="17862.150000000001"/>
    <n v="9892.2099999999991"/>
    <n v="7969.94"/>
    <x v="3"/>
    <s v="Cancelled"/>
  </r>
  <r>
    <x v="533"/>
    <x v="368"/>
    <d v="2024-01-09T00:00:00"/>
    <n v="-229"/>
    <s v="CUST-4487"/>
    <s v="Isha Nair"/>
    <s v="Home Office"/>
    <x v="0"/>
    <x v="0"/>
    <s v="Jaipur"/>
    <x v="1"/>
    <s v="Tables"/>
    <s v="Smart Tables 659"/>
    <x v="1"/>
    <n v="6"/>
    <n v="481.3"/>
    <n v="0.25"/>
    <n v="2165.85"/>
    <n v="2124.48"/>
    <n v="430.45"/>
    <x v="0"/>
    <s v="Completed"/>
  </r>
  <r>
    <x v="534"/>
    <x v="369"/>
    <d v="2025-05-05T00:00:00"/>
    <n v="8"/>
    <s v="CUST-8204"/>
    <s v="Rohan Mehta"/>
    <s v="Home Office"/>
    <x v="1"/>
    <x v="9"/>
    <s v="Patna"/>
    <x v="2"/>
    <s v="Accessories"/>
    <s v="Classic Accessories 325"/>
    <x v="0"/>
    <n v="4"/>
    <n v="3963.39"/>
    <n v="0.1"/>
    <n v="14268.2"/>
    <n v="11705.3"/>
    <n v="2562.9"/>
    <x v="2"/>
    <s v="Returned"/>
  </r>
  <r>
    <x v="535"/>
    <x v="370"/>
    <d v="2024-05-21T00:00:00"/>
    <n v="2"/>
    <s v="CUST-1729"/>
    <s v="Diya Patel"/>
    <s v="Small Business"/>
    <x v="3"/>
    <x v="3"/>
    <s v="Mumbai"/>
    <x v="2"/>
    <s v="Copiers"/>
    <s v="Eco Copiers 243"/>
    <x v="2"/>
    <n v="3"/>
    <n v="4000.98"/>
    <n v="0.2"/>
    <n v="9602.35"/>
    <n v="7387.57"/>
    <n v="2214.7800000000002"/>
    <x v="0"/>
    <s v="Completed"/>
  </r>
  <r>
    <x v="536"/>
    <x v="185"/>
    <d v="2025-04-17T00:00:00"/>
    <n v="-170"/>
    <s v="CUST-4269"/>
    <s v="Ananya Rao"/>
    <s v="Small Business"/>
    <x v="3"/>
    <x v="0"/>
    <s v="Udaipur"/>
    <x v="1"/>
    <s v="Chairs"/>
    <s v="Elite Chairs 777"/>
    <x v="2"/>
    <n v="7"/>
    <n v="3788.9"/>
    <n v="0.25"/>
    <n v="19891.72"/>
    <n v="12295.76"/>
    <n v="7595.96"/>
    <x v="3"/>
    <s v="Cancelled"/>
  </r>
  <r>
    <x v="537"/>
    <x v="163"/>
    <d v="2024-01-30T00:00:00"/>
    <n v="8"/>
    <s v="CUST-1370"/>
    <s v="Ananya Rao"/>
    <s v="Small Business"/>
    <x v="0"/>
    <x v="16"/>
    <s v="Gurugram"/>
    <x v="0"/>
    <s v="Art"/>
    <s v="Classic Art 772"/>
    <x v="1"/>
    <n v="3"/>
    <n v="676.37"/>
    <n v="0.05"/>
    <n v="1927.65"/>
    <n v="1460.6"/>
    <n v="467.05"/>
    <x v="3"/>
    <s v="Cancelled"/>
  </r>
  <r>
    <x v="538"/>
    <x v="105"/>
    <d v="2024-01-10T00:00:00"/>
    <n v="-259"/>
    <s v="CUST-5381"/>
    <s v="Diya Patel"/>
    <s v="Small Business"/>
    <x v="1"/>
    <x v="15"/>
    <s v="Ranchi"/>
    <x v="1"/>
    <s v="Tables"/>
    <s v="Elite Tables 888"/>
    <x v="0"/>
    <n v="9"/>
    <n v="3908.6"/>
    <n v="0.15"/>
    <n v="29900.79"/>
    <n v="24650.67"/>
    <n v="5250.12"/>
    <x v="0"/>
    <s v="Completed"/>
  </r>
  <r>
    <x v="539"/>
    <x v="371"/>
    <d v="2025-04-07T00:00:00"/>
    <n v="-88"/>
    <s v="CUST-3694"/>
    <s v="Mira Das"/>
    <s v="Small Business"/>
    <x v="2"/>
    <x v="17"/>
    <s v="Chennai"/>
    <x v="1"/>
    <s v="Chairs"/>
    <s v="Classic Chairs 666"/>
    <x v="3"/>
    <n v="3"/>
    <n v="705.35"/>
    <n v="0.1"/>
    <n v="1904.45"/>
    <n v="1316.54"/>
    <n v="587.91"/>
    <x v="0"/>
    <s v="Cancelled"/>
  </r>
  <r>
    <x v="540"/>
    <x v="372"/>
    <d v="2024-02-23T00:00:00"/>
    <n v="-3"/>
    <s v="CUST-7563"/>
    <s v="Kabir Singh"/>
    <s v="Consumer"/>
    <x v="3"/>
    <x v="12"/>
    <s v="Ahmedabad"/>
    <x v="1"/>
    <s v="Furnishings"/>
    <s v="Basic Furnishings 350"/>
    <x v="3"/>
    <n v="7"/>
    <n v="3852.07"/>
    <n v="0.2"/>
    <n v="21571.59"/>
    <n v="17118.07"/>
    <n v="4453.5200000000004"/>
    <x v="0"/>
    <s v="Completed"/>
  </r>
  <r>
    <x v="541"/>
    <x v="373"/>
    <d v="2025-09-07T00:00:00"/>
    <n v="31"/>
    <s v="CUST-4188"/>
    <s v="Sneha Kapoor"/>
    <s v="Consumer"/>
    <x v="3"/>
    <x v="3"/>
    <s v="Mumbai"/>
    <x v="2"/>
    <s v="Copiers"/>
    <s v="Elite Copiers 831"/>
    <x v="1"/>
    <n v="3"/>
    <n v="2880.56"/>
    <n v="0"/>
    <n v="8641.68"/>
    <n v="5747.09"/>
    <n v="2894.59"/>
    <x v="0"/>
    <s v="Returned"/>
  </r>
  <r>
    <x v="542"/>
    <x v="374"/>
    <d v="2024-09-23T00:00:00"/>
    <n v="6"/>
    <s v="CUST-9376"/>
    <s v="Rahul Verma"/>
    <s v="Home Office"/>
    <x v="2"/>
    <x v="13"/>
    <s v="Kochi"/>
    <x v="1"/>
    <s v="Bookcases"/>
    <s v="Eco Bookcases 759"/>
    <x v="0"/>
    <n v="3"/>
    <n v="4067.62"/>
    <n v="0.2"/>
    <n v="9988.5300000000007"/>
    <n v="8368.24"/>
    <n v="1394.05"/>
    <x v="0"/>
    <s v="Cancelled"/>
  </r>
  <r>
    <x v="543"/>
    <x v="375"/>
    <d v="2024-07-20T00:00:00"/>
    <n v="6"/>
    <s v="CUST-9094"/>
    <s v="Mira Das"/>
    <s v="Consumer"/>
    <x v="1"/>
    <x v="9"/>
    <s v="Patna"/>
    <x v="2"/>
    <s v="Copiers"/>
    <s v="Max Copiers 440"/>
    <x v="1"/>
    <n v="1"/>
    <n v="492.67"/>
    <n v="0.15"/>
    <n v="418.77"/>
    <n v="313.72000000000003"/>
    <n v="105.05"/>
    <x v="0"/>
    <s v="Completed"/>
  </r>
  <r>
    <x v="544"/>
    <x v="297"/>
    <d v="2025-02-05T00:00:00"/>
    <n v="7"/>
    <s v="CUST-2366"/>
    <s v="Ananya Rao"/>
    <s v="Consumer"/>
    <x v="2"/>
    <x v="13"/>
    <s v="Kochi"/>
    <x v="0"/>
    <s v="Art"/>
    <s v="Smart Art 201"/>
    <x v="1"/>
    <n v="8"/>
    <n v="3643.62"/>
    <n v="0.25"/>
    <n v="21861.72"/>
    <n v="18464.34"/>
    <n v="3397.38"/>
    <x v="0"/>
    <s v="Cancelled"/>
  </r>
  <r>
    <x v="545"/>
    <x v="376"/>
    <d v="2024-05-30T00:00:00"/>
    <n v="3"/>
    <s v="CUST-7168"/>
    <s v="Kabir Singh"/>
    <s v="Small Business"/>
    <x v="1"/>
    <x v="15"/>
    <s v="Ranchi"/>
    <x v="0"/>
    <s v="Storage"/>
    <s v="Classic Storage 755"/>
    <x v="1"/>
    <n v="7"/>
    <n v="2900.86"/>
    <n v="0.15"/>
    <n v="17260.12"/>
    <n v="13513.51"/>
    <n v="3746.61"/>
    <x v="0"/>
    <s v="Completed"/>
  </r>
  <r>
    <x v="546"/>
    <x v="377"/>
    <d v="2025-08-22T00:00:00"/>
    <n v="8"/>
    <s v="CUST-8157"/>
    <s v="Arjun Bose"/>
    <s v="Corporate"/>
    <x v="3"/>
    <x v="12"/>
    <s v="Ahmedabad"/>
    <x v="0"/>
    <s v="Paper"/>
    <s v="Prime Paper 143"/>
    <x v="2"/>
    <n v="5"/>
    <n v="2567.37"/>
    <n v="0.15"/>
    <n v="10911.32"/>
    <n v="6966.44"/>
    <n v="4395.17"/>
    <x v="0"/>
    <s v="Completed"/>
  </r>
  <r>
    <x v="547"/>
    <x v="172"/>
    <d v="2024-05-23T00:00:00"/>
    <n v="7"/>
    <s v="CUST-9146"/>
    <s v="Neha Gupta"/>
    <s v="Small Business"/>
    <x v="0"/>
    <x v="8"/>
    <s v="Noida"/>
    <x v="2"/>
    <s v="Copiers"/>
    <s v="Max Copiers 607"/>
    <x v="3"/>
    <n v="9"/>
    <n v="3722.09"/>
    <n v="0.1"/>
    <n v="30148.93"/>
    <n v="25155.07"/>
    <n v="4993.8599999999997"/>
    <x v="0"/>
    <s v="Completed"/>
  </r>
  <r>
    <x v="548"/>
    <x v="32"/>
    <d v="2024-05-29T00:00:00"/>
    <n v="0"/>
    <s v="CUST-5129"/>
    <s v="Rohan Mehta"/>
    <s v="Corporate"/>
    <x v="1"/>
    <x v="9"/>
    <s v="Patna"/>
    <x v="1"/>
    <s v="Bookcases"/>
    <s v="Prime Bookcases 402"/>
    <x v="1"/>
    <n v="1"/>
    <n v="1072.01"/>
    <n v="0"/>
    <n v="1072.01"/>
    <n v="852.62"/>
    <n v="219.39"/>
    <x v="2"/>
    <s v="Cancelled"/>
  </r>
  <r>
    <x v="549"/>
    <x v="378"/>
    <d v="2025-10-13T00:00:00"/>
    <n v="2"/>
    <s v="CUST-6028"/>
    <s v="Mira Das"/>
    <s v="Corporate"/>
    <x v="2"/>
    <x v="2"/>
    <s v="Hyderabad"/>
    <x v="0"/>
    <s v="Art"/>
    <s v="Pro Art 287"/>
    <x v="0"/>
    <n v="3"/>
    <n v="3804.27"/>
    <n v="0.1"/>
    <n v="10271.530000000001"/>
    <n v="8272.24"/>
    <n v="1999.29"/>
    <x v="0"/>
    <s v="Completed"/>
  </r>
  <r>
    <x v="550"/>
    <x v="80"/>
    <d v="2024-08-10T00:00:00"/>
    <n v="184"/>
    <s v="CUST-8687"/>
    <s v="Mira Das"/>
    <s v="Home Office"/>
    <x v="1"/>
    <x v="1"/>
    <s v="Bhubaneswar"/>
    <x v="2"/>
    <s v="Accessories"/>
    <s v="Max Accessories 591"/>
    <x v="3"/>
    <n v="6"/>
    <n v="2126.44"/>
    <n v="0.2"/>
    <n v="10206.91"/>
    <n v="6764.53"/>
    <n v="3442.38"/>
    <x v="0"/>
    <s v="Completed"/>
  </r>
  <r>
    <x v="551"/>
    <x v="379"/>
    <d v="2024-02-27T00:00:00"/>
    <n v="0"/>
    <s v="CUST-8172"/>
    <s v="Sneha Kapoor"/>
    <s v="Consumer"/>
    <x v="1"/>
    <x v="15"/>
    <s v="Ranchi"/>
    <x v="1"/>
    <s v="Chairs"/>
    <s v="Elite Chairs 314"/>
    <x v="0"/>
    <n v="3"/>
    <n v="3148.09"/>
    <n v="0.15"/>
    <n v="8027.63"/>
    <n v="5496.09"/>
    <n v="2531.54"/>
    <x v="0"/>
    <s v="Completed"/>
  </r>
  <r>
    <x v="552"/>
    <x v="21"/>
    <d v="2025-01-30T00:00:00"/>
    <n v="6"/>
    <s v="CUST-8861"/>
    <s v="Ananya Rao"/>
    <s v="Corporate"/>
    <x v="1"/>
    <x v="6"/>
    <s v="Kolkata"/>
    <x v="2"/>
    <s v="Copiers"/>
    <s v="Pro Copiers 246"/>
    <x v="3"/>
    <n v="8"/>
    <n v="312.52999999999997"/>
    <s v="70%"/>
    <n v="1875.18"/>
    <n v="1579.17"/>
    <n v="296.01"/>
    <x v="0"/>
    <s v="Completed"/>
  </r>
  <r>
    <x v="553"/>
    <x v="380"/>
    <d v="2025-04-28T00:00:00"/>
    <n v="3"/>
    <s v="CUST-9241"/>
    <s v="Aarav Sharma"/>
    <s v="Small Business"/>
    <x v="3"/>
    <x v="12"/>
    <s v="Ahmedabad"/>
    <x v="0"/>
    <s v="Storage"/>
    <s v="Pro Storage 128"/>
    <x v="2"/>
    <n v="9"/>
    <n v="1294.1099999999999"/>
    <n v="0.25"/>
    <n v="8735.24"/>
    <n v="6620.07"/>
    <n v="2115.17"/>
    <x v="0"/>
    <s v="Completed"/>
  </r>
  <r>
    <x v="554"/>
    <x v="381"/>
    <d v="2024-10-17T00:00:00"/>
    <n v="-54"/>
    <s v="CUST-2126"/>
    <s v="Arjun Bose"/>
    <s v="Consumer"/>
    <x v="4"/>
    <x v="15"/>
    <s v="Ranchi"/>
    <x v="1"/>
    <s v="Furnishings"/>
    <s v="Prime Furnishings 892"/>
    <x v="3"/>
    <n v="4"/>
    <n v="1071.22"/>
    <n v="0.05"/>
    <n v="4070.64"/>
    <n v="2831.62"/>
    <n v="1239.02"/>
    <x v="0"/>
    <s v="Completed"/>
  </r>
  <r>
    <x v="555"/>
    <x v="206"/>
    <d v="2025-10-02T00:00:00"/>
    <n v="183"/>
    <s v="CUST-7513"/>
    <s v="Ananya Rao"/>
    <s v="Small Business"/>
    <x v="2"/>
    <x v="2"/>
    <s v="Hyderabad"/>
    <x v="0"/>
    <s v="Storage"/>
    <s v="Prime Storage 689"/>
    <x v="3"/>
    <n v="6"/>
    <n v="1042.8"/>
    <n v="0.05"/>
    <n v="5943.96"/>
    <n v="3604.14"/>
    <n v="2339.8200000000002"/>
    <x v="0"/>
    <s v="Completed"/>
  </r>
  <r>
    <x v="556"/>
    <x v="160"/>
    <d v="2024-06-29T00:00:00"/>
    <n v="6"/>
    <s v="CUST-1992"/>
    <s v="Neha Gupta"/>
    <s v="Consumer"/>
    <x v="0"/>
    <x v="16"/>
    <s v="Gurugram"/>
    <x v="1"/>
    <s v="Tables"/>
    <s v="Classic Tables 769"/>
    <x v="2"/>
    <n v="1"/>
    <n v="4426.66"/>
    <n v="0"/>
    <n v="4426.66"/>
    <n v="3035.2"/>
    <n v="1816.23"/>
    <x v="0"/>
    <s v="Returned"/>
  </r>
  <r>
    <x v="557"/>
    <x v="382"/>
    <d v="2024-05-14T00:00:00"/>
    <n v="-83"/>
    <s v="CUST-8848"/>
    <s v="Vikram Iyer"/>
    <s v="Home Office"/>
    <x v="0"/>
    <x v="16"/>
    <s v="Gurugram"/>
    <x v="2"/>
    <s v="Phones"/>
    <s v="Prime Phones 503"/>
    <x v="2"/>
    <n v="9"/>
    <n v="3769.46"/>
    <n v="0.05"/>
    <n v="32228.880000000001"/>
    <n v="24971.360000000001"/>
    <n v="7257.52"/>
    <x v="0"/>
    <s v="Cancelled"/>
  </r>
  <r>
    <x v="558"/>
    <x v="383"/>
    <d v="2025-09-04T00:00:00"/>
    <n v="148"/>
    <s v="CUST-9368"/>
    <s v="Aditi Sen"/>
    <s v="Corporate"/>
    <x v="0"/>
    <x v="7"/>
    <s v="Ludhiana"/>
    <x v="2"/>
    <s v="Machines"/>
    <s v="Basic Machines 136"/>
    <x v="2"/>
    <n v="8"/>
    <n v="3079.95"/>
    <n v="0.2"/>
    <n v="19711.68"/>
    <n v="14461.8"/>
    <n v="5249.88"/>
    <x v="0"/>
    <s v="Completed"/>
  </r>
  <r>
    <x v="559"/>
    <x v="326"/>
    <d v="2025-07-10T00:00:00"/>
    <n v="-82"/>
    <s v="CUST-6797"/>
    <s v="Diya Patel"/>
    <s v="Corporate"/>
    <x v="1"/>
    <x v="9"/>
    <s v="Patna"/>
    <x v="2"/>
    <s v="Copiers"/>
    <s v="Basic Copiers 512"/>
    <x v="0"/>
    <n v="5"/>
    <n v="3277.82"/>
    <n v="0.1"/>
    <n v="14750.19"/>
    <n v="9482.58"/>
    <n v="5267.61"/>
    <x v="0"/>
    <s v="Returned"/>
  </r>
  <r>
    <x v="560"/>
    <x v="384"/>
    <d v="2024-01-22T00:00:00"/>
    <n v="6"/>
    <s v="CUST-9333"/>
    <s v="Arjun Bose"/>
    <s v="Consumer"/>
    <x v="3"/>
    <x v="14"/>
    <s v="Panaji"/>
    <x v="0"/>
    <s v="Storage"/>
    <s v="Smart Storage 767"/>
    <x v="3"/>
    <n v="4"/>
    <n v="282.52999999999997"/>
    <n v="0"/>
    <n v="1130.1199999999999"/>
    <n v="848.62"/>
    <n v="281.5"/>
    <x v="0"/>
    <s v="Cancelled"/>
  </r>
  <r>
    <x v="561"/>
    <x v="116"/>
    <d v="2025-07-18T00:00:00"/>
    <n v="4"/>
    <s v="CUST-6654"/>
    <s v="Aditi Sen"/>
    <s v="Consumer"/>
    <x v="0"/>
    <x v="7"/>
    <s v="Ludhiana"/>
    <x v="2"/>
    <s v="Copiers"/>
    <s v="Eco Copiers 954"/>
    <x v="2"/>
    <n v="4"/>
    <n v="725.22"/>
    <n v="0"/>
    <n v="2900.88"/>
    <n v="2391.85"/>
    <n v="509.03"/>
    <x v="2"/>
    <s v="Returned"/>
  </r>
  <r>
    <x v="562"/>
    <x v="322"/>
    <d v="2024-05-16T00:00:00"/>
    <n v="-142"/>
    <s v="CUST-8622"/>
    <s v="Karan Malhotra"/>
    <s v="Consumer"/>
    <x v="0"/>
    <x v="7"/>
    <s v="Ludhiana"/>
    <x v="0"/>
    <s v="Binders"/>
    <s v="Elite Binders 143"/>
    <x v="1"/>
    <n v="7"/>
    <n v="121.54"/>
    <n v="0.2"/>
    <n v="680.62"/>
    <n v="463.49"/>
    <n v="217.13"/>
    <x v="3"/>
    <s v="Returned"/>
  </r>
  <r>
    <x v="563"/>
    <x v="88"/>
    <d v="2024-12-05T00:00:00"/>
    <n v="213"/>
    <s v="CUST-8776"/>
    <s v="Arjun Bose"/>
    <s v="Corporate"/>
    <x v="3"/>
    <x v="14"/>
    <s v="Panaji"/>
    <x v="1"/>
    <s v="Tables"/>
    <s v="Classic Tables 560"/>
    <x v="3"/>
    <n v="9"/>
    <n v="790.97"/>
    <n v="0.2"/>
    <n v="5694.98"/>
    <n v="4618.33"/>
    <n v="1076.6500000000001"/>
    <x v="2"/>
    <s v="Cancelled"/>
  </r>
  <r>
    <x v="564"/>
    <x v="24"/>
    <d v="2024-11-14T00:00:00"/>
    <n v="4"/>
    <s v="CUST-9100"/>
    <s v="Sneha Kapoor"/>
    <s v="Corporate"/>
    <x v="2"/>
    <x v="5"/>
    <s v="Vijayawada"/>
    <x v="1"/>
    <s v="Tables"/>
    <s v="Basic Tables 759"/>
    <x v="2"/>
    <n v="2"/>
    <n v="921.34"/>
    <n v="0.2"/>
    <n v="1474.14"/>
    <n v="968.46"/>
    <n v="505.68"/>
    <x v="0"/>
    <s v="Completed"/>
  </r>
  <r>
    <x v="565"/>
    <x v="72"/>
    <d v="2025-08-13T00:00:00"/>
    <n v="36"/>
    <s v="CUST-5601"/>
    <s v="Mira Das"/>
    <s v="Corporate"/>
    <x v="0"/>
    <x v="18"/>
    <s v="New Delhi"/>
    <x v="2"/>
    <s v="Phones"/>
    <s v="Prime Phones 564"/>
    <x v="3"/>
    <n v="6"/>
    <n v="1921.86"/>
    <n v="0.2"/>
    <n v="9224.93"/>
    <n v="7005.2"/>
    <n v="2219.73"/>
    <x v="1"/>
    <s v="Cancelled"/>
  </r>
  <r>
    <x v="566"/>
    <x v="349"/>
    <d v="2024-08-19T00:00:00"/>
    <n v="-81"/>
    <s v="CUST-5246"/>
    <s v="Sneha Kapoor"/>
    <s v="Small Business"/>
    <x v="3"/>
    <x v="3"/>
    <s v="Mumbai"/>
    <x v="0"/>
    <s v="Paper"/>
    <s v="Smart Paper 807"/>
    <x v="1"/>
    <n v="2"/>
    <n v="2617.89"/>
    <n v="0.1"/>
    <n v="4712.2"/>
    <n v="3851.91"/>
    <n v="860.29"/>
    <x v="3"/>
    <s v="Returned"/>
  </r>
  <r>
    <x v="567"/>
    <x v="199"/>
    <d v="2024-10-02T00:00:00"/>
    <n v="122"/>
    <s v="CUST-3128"/>
    <s v="Arjun Bose"/>
    <s v="Home Office"/>
    <x v="0"/>
    <x v="8"/>
    <s v="Noida"/>
    <x v="1"/>
    <s v="Furnishings"/>
    <s v="Pro Furnishings 108"/>
    <x v="1"/>
    <n v="1"/>
    <n v="1374.06"/>
    <n v="0.05"/>
    <n v="1305.3599999999999"/>
    <n v="731.89"/>
    <n v="573.47"/>
    <x v="0"/>
    <s v="Completed"/>
  </r>
  <r>
    <x v="568"/>
    <x v="258"/>
    <d v="2024-01-24T00:00:00"/>
    <n v="3"/>
    <s v="CUST-4604"/>
    <s v="Kabir Singh"/>
    <s v="Corporate"/>
    <x v="0"/>
    <x v="7"/>
    <s v="Ludhiana"/>
    <x v="2"/>
    <s v="Machines"/>
    <s v="Classic Machines 522"/>
    <x v="1"/>
    <n v="1"/>
    <n v="3806.3"/>
    <n v="0.25"/>
    <n v="2854.73"/>
    <n v="1968.12"/>
    <n v="886.61"/>
    <x v="0"/>
    <s v="Completed"/>
  </r>
  <r>
    <x v="569"/>
    <x v="208"/>
    <d v="2025-10-09T00:00:00"/>
    <n v="31"/>
    <s v="CUST-2586"/>
    <s v="Rahul Verma"/>
    <s v="Home Office"/>
    <x v="3"/>
    <x v="3"/>
    <s v="Mumbai"/>
    <x v="1"/>
    <s v="Furnishings"/>
    <s v="Elite Furnishings 822"/>
    <x v="3"/>
    <n v="6"/>
    <n v="3251.17"/>
    <n v="0.25"/>
    <n v="14630.26"/>
    <n v="11906.36"/>
    <n v="2723.9"/>
    <x v="1"/>
    <s v="Returned"/>
  </r>
  <r>
    <x v="570"/>
    <x v="140"/>
    <d v="2025-08-22T00:00:00"/>
    <n v="4"/>
    <s v="CUST-6585"/>
    <s v="Arjun Bose"/>
    <s v="Consumer"/>
    <x v="1"/>
    <x v="15"/>
    <s v="Ranchi"/>
    <x v="1"/>
    <s v="Furnishings"/>
    <s v="Max Furnishings 647"/>
    <x v="0"/>
    <n v="3"/>
    <n v="3946.44"/>
    <n v="0.25"/>
    <n v="8879.49"/>
    <n v="6344.57"/>
    <n v="2534.92"/>
    <x v="3"/>
    <s v="Returned"/>
  </r>
  <r>
    <x v="571"/>
    <x v="183"/>
    <d v="2025-02-14T00:00:00"/>
    <n v="-230"/>
    <s v="CUST-3425"/>
    <s v="Priya Menon"/>
    <s v="Small Business"/>
    <x v="0"/>
    <x v="8"/>
    <s v="Noida"/>
    <x v="2"/>
    <s v="Phones"/>
    <s v="Prime Phones 895"/>
    <x v="4"/>
    <n v="5"/>
    <n v="4276.29"/>
    <n v="0"/>
    <n v="21381.45"/>
    <n v="13240.21"/>
    <n v="8141.24"/>
    <x v="3"/>
    <s v="Returned"/>
  </r>
  <r>
    <x v="572"/>
    <x v="385"/>
    <d v="2024-09-01T00:00:00"/>
    <n v="243"/>
    <s v="CUST-8633"/>
    <s v="Diya Patel"/>
    <s v="Corporate"/>
    <x v="0"/>
    <x v="18"/>
    <s v="New Delhi"/>
    <x v="2"/>
    <s v="Phones"/>
    <s v="Eco Phones 368"/>
    <x v="3"/>
    <n v="3"/>
    <n v="739.56"/>
    <n v="0.2"/>
    <n v="1774.94"/>
    <n v="1007.4"/>
    <n v="767.54"/>
    <x v="0"/>
    <s v="Completed"/>
  </r>
  <r>
    <x v="573"/>
    <x v="386"/>
    <d v="2025-09-26T00:00:00"/>
    <n v="4"/>
    <s v="CUST-8243"/>
    <s v="Isha Nair"/>
    <s v="Consumer"/>
    <x v="2"/>
    <x v="5"/>
    <s v="Vijayawada"/>
    <x v="2"/>
    <s v="Phones"/>
    <s v="Pro Phones 644"/>
    <x v="3"/>
    <n v="1"/>
    <n v="573.65"/>
    <n v="0"/>
    <n v="573.65"/>
    <n v="322.67"/>
    <n v="250.98"/>
    <x v="0"/>
    <s v="Completed"/>
  </r>
  <r>
    <x v="574"/>
    <x v="97"/>
    <d v="2024-02-25T00:00:00"/>
    <n v="5"/>
    <s v="CUST-9139"/>
    <s v="Diya Patel"/>
    <s v="Home Office"/>
    <x v="0"/>
    <x v="7"/>
    <s v="Ludhiana"/>
    <x v="2"/>
    <s v="Machines"/>
    <s v="Smart Machines 566"/>
    <x v="3"/>
    <n v="4"/>
    <n v="1355.8"/>
    <n v="0"/>
    <n v="5423.2"/>
    <n v="4072.44"/>
    <n v="1350.76"/>
    <x v="0"/>
    <s v="Completed"/>
  </r>
  <r>
    <x v="575"/>
    <x v="328"/>
    <d v="2025-03-14T00:00:00"/>
    <n v="-234"/>
    <s v="CUST-5496"/>
    <s v="Sneha Kapoor"/>
    <s v="Home Office"/>
    <x v="2"/>
    <x v="13"/>
    <s v="Kochi"/>
    <x v="1"/>
    <s v="Furnishings"/>
    <s v="Elite Furnishings 173"/>
    <x v="1"/>
    <n v="4"/>
    <n v="1244.82"/>
    <n v="0.2"/>
    <n v="3983.42"/>
    <n v="3174.91"/>
    <n v="808.51"/>
    <x v="3"/>
    <s v="Returned"/>
  </r>
  <r>
    <x v="576"/>
    <x v="387"/>
    <d v="2024-02-23T00:00:00"/>
    <n v="6"/>
    <s v="CUST-2228"/>
    <s v="Rohan Mehta"/>
    <s v="Home Office"/>
    <x v="4"/>
    <x v="9"/>
    <s v="Patna"/>
    <x v="0"/>
    <s v="Binders"/>
    <s v="Smart Binders 417"/>
    <x v="3"/>
    <n v="9"/>
    <n v="2614.46"/>
    <n v="0"/>
    <n v="23530.14"/>
    <n v="19537.79"/>
    <n v="3992.35"/>
    <x v="1"/>
    <s v="Returned"/>
  </r>
  <r>
    <x v="577"/>
    <x v="63"/>
    <d v="2025-03-09T00:00:00"/>
    <n v="-172"/>
    <s v="CUST-4151"/>
    <s v="Priya Menon"/>
    <s v="Corporate"/>
    <x v="3"/>
    <x v="4"/>
    <s v="Indore"/>
    <x v="1"/>
    <s v="Furnishings"/>
    <s v="Smart Furnishings 714"/>
    <x v="3"/>
    <n v="7"/>
    <n v="268.45"/>
    <n v="0"/>
    <n v="1879.15"/>
    <n v="1134.9000000000001"/>
    <n v="744.25"/>
    <x v="0"/>
    <s v="Completed"/>
  </r>
  <r>
    <x v="578"/>
    <x v="201"/>
    <d v="2024-02-23T00:00:00"/>
    <n v="2"/>
    <s v="CUST-4900"/>
    <s v="Neha Gupta"/>
    <s v="Small Business"/>
    <x v="3"/>
    <x v="12"/>
    <s v="Ahmedabad"/>
    <x v="2"/>
    <s v="Copiers"/>
    <s v="Elite Copiers 682"/>
    <x v="2"/>
    <n v="6"/>
    <n v="2633.65"/>
    <n v="0.05"/>
    <n v="15011.81"/>
    <n v="9660.36"/>
    <n v="5351.45"/>
    <x v="0"/>
    <s v="Completed"/>
  </r>
  <r>
    <x v="579"/>
    <x v="388"/>
    <d v="2024-06-24T00:00:00"/>
    <n v="5"/>
    <s v="CUST-9617"/>
    <s v="Aarav Sharma"/>
    <s v="Small Business"/>
    <x v="2"/>
    <x v="17"/>
    <s v="Chennai"/>
    <x v="0"/>
    <s v="Storage"/>
    <s v="Pro Storage 482"/>
    <x v="1"/>
    <n v="1"/>
    <n v="3202.41"/>
    <n v="0"/>
    <n v="3202.41"/>
    <n v="2608.44"/>
    <n v="593.97"/>
    <x v="0"/>
    <s v="Completed"/>
  </r>
  <r>
    <x v="580"/>
    <x v="389"/>
    <d v="2025-03-13T00:00:00"/>
    <n v="-82"/>
    <s v="CUST-7958"/>
    <s v="Kabir Singh"/>
    <s v="Consumer"/>
    <x v="2"/>
    <x v="13"/>
    <s v="Kochi"/>
    <x v="1"/>
    <s v="Chairs"/>
    <s v="Pro Chairs 888"/>
    <x v="3"/>
    <n v="3"/>
    <n v="163.72"/>
    <n v="0.15"/>
    <n v="417.49"/>
    <n v="261.67"/>
    <n v="155.82"/>
    <x v="3"/>
    <s v="Returned"/>
  </r>
  <r>
    <x v="581"/>
    <x v="208"/>
    <d v="2025-08-10T00:00:00"/>
    <n v="-29"/>
    <s v="CUST-9931"/>
    <s v="Neha Gupta"/>
    <s v="Consumer"/>
    <x v="0"/>
    <x v="18"/>
    <s v="New Delhi"/>
    <x v="0"/>
    <s v="Art"/>
    <s v="Classic Art 611"/>
    <x v="0"/>
    <n v="4"/>
    <n v="4080.95"/>
    <n v="0"/>
    <n v="16323.8"/>
    <n v="9965.7900000000009"/>
    <n v="6358.01"/>
    <x v="1"/>
    <s v="Returned"/>
  </r>
  <r>
    <x v="582"/>
    <x v="390"/>
    <d v="2024-10-20T00:00:00"/>
    <n v="5"/>
    <s v="CUST-2088"/>
    <s v="Ananya Rao"/>
    <s v="Consumer"/>
    <x v="1"/>
    <x v="1"/>
    <s v="Bhubaneswar"/>
    <x v="0"/>
    <s v="Art"/>
    <s v="Basic Art 174"/>
    <x v="2"/>
    <n v="5"/>
    <n v="671.24"/>
    <n v="0"/>
    <n v="3356.2"/>
    <n v="2205.7199999999998"/>
    <n v="1150.48"/>
    <x v="2"/>
    <s v="Returned"/>
  </r>
  <r>
    <x v="583"/>
    <x v="228"/>
    <d v="2024-02-28T00:00:00"/>
    <n v="0"/>
    <s v="CUST-1686"/>
    <s v="Rohan Mehta"/>
    <s v="Small Business"/>
    <x v="1"/>
    <x v="6"/>
    <s v="Kolkata"/>
    <x v="0"/>
    <s v="Storage"/>
    <s v="Classic Storage 451"/>
    <x v="2"/>
    <n v="1"/>
    <n v="2626.84"/>
    <n v="0.2"/>
    <n v="2101.4699999999998"/>
    <n v="1217.83"/>
    <n v="883.64"/>
    <x v="3"/>
    <s v="Returned"/>
  </r>
  <r>
    <x v="584"/>
    <x v="391"/>
    <d v="2024-10-08T00:00:00"/>
    <n v="65"/>
    <s v="CUST-4894"/>
    <s v="Vikram Iyer"/>
    <s v="Consumer"/>
    <x v="1"/>
    <x v="9"/>
    <s v="Patna"/>
    <x v="0"/>
    <s v="Art"/>
    <s v="Pro Art 172"/>
    <x v="1"/>
    <n v="1"/>
    <n v="984.93"/>
    <n v="0.15"/>
    <n v="837.19"/>
    <n v="583.79"/>
    <n v="253.4"/>
    <x v="2"/>
    <s v="Returned"/>
  </r>
  <r>
    <x v="585"/>
    <x v="255"/>
    <d v="2025-06-25T00:00:00"/>
    <n v="3"/>
    <s v="CUST-5201"/>
    <s v="Diya Patel"/>
    <s v="Small Business"/>
    <x v="3"/>
    <x v="3"/>
    <s v="Mumbai"/>
    <x v="2"/>
    <s v="Phones"/>
    <s v="Prime Phones 744"/>
    <x v="2"/>
    <n v="8"/>
    <n v="3453.66"/>
    <n v="0"/>
    <n v="27629.279999999999"/>
    <n v="22026.48"/>
    <n v="5602.8"/>
    <x v="0"/>
    <s v="Completed"/>
  </r>
  <r>
    <x v="586"/>
    <x v="311"/>
    <d v="2025-12-04T00:00:00"/>
    <n v="0"/>
    <s v="CUST-8626"/>
    <s v="Mira Das"/>
    <s v="Home Office"/>
    <x v="0"/>
    <x v="7"/>
    <s v="Ludhiana"/>
    <x v="0"/>
    <s v="Binders"/>
    <s v="Prime Binders 249"/>
    <x v="0"/>
    <n v="7"/>
    <n v="1334.2"/>
    <n v="0.2"/>
    <n v="7471.52"/>
    <n v="6184.32"/>
    <n v="1287.2"/>
    <x v="0"/>
    <s v="Completed"/>
  </r>
  <r>
    <x v="587"/>
    <x v="392"/>
    <d v="2025-07-31T00:00:00"/>
    <n v="8"/>
    <s v="CUST-1013"/>
    <s v="Kabir Singh"/>
    <s v="Home Office"/>
    <x v="3"/>
    <x v="4"/>
    <s v="Indore"/>
    <x v="2"/>
    <s v="Accessories"/>
    <s v="Eco Accessories 948"/>
    <x v="2"/>
    <n v="1"/>
    <n v="4253.84"/>
    <n v="0.15"/>
    <n v="3615.76"/>
    <n v="2951.52"/>
    <n v="664.24"/>
    <x v="1"/>
    <s v="Cancelled"/>
  </r>
  <r>
    <x v="588"/>
    <x v="328"/>
    <d v="2025-03-15T00:00:00"/>
    <n v="-233"/>
    <s v="CUST-3601"/>
    <s v="Aarav Sharma"/>
    <s v="Home Office"/>
    <x v="2"/>
    <x v="11"/>
    <s v="Bengaluru"/>
    <x v="2"/>
    <s v="Accessories"/>
    <s v="Classic Accessories 458"/>
    <x v="0"/>
    <n v="8"/>
    <n v="4446.3599999999997"/>
    <n v="0.1"/>
    <n v="32013.79"/>
    <n v="20896.88"/>
    <n v="11116.91"/>
    <x v="1"/>
    <s v="Cancelled"/>
  </r>
  <r>
    <x v="589"/>
    <x v="393"/>
    <d v="2024-12-12T00:00:00"/>
    <n v="183"/>
    <s v="CUST-7846"/>
    <s v="Rohan Mehta"/>
    <s v="Corporate"/>
    <x v="0"/>
    <x v="8"/>
    <s v="Noida"/>
    <x v="2"/>
    <s v="Phones"/>
    <s v="Max Phones 318"/>
    <x v="2"/>
    <n v="3"/>
    <n v="524.75"/>
    <n v="0"/>
    <n v="1574.25"/>
    <n v="1326.12"/>
    <n v="248.13"/>
    <x v="0"/>
    <s v="Completed"/>
  </r>
  <r>
    <x v="590"/>
    <x v="32"/>
    <d v="2024-05-29T00:00:00"/>
    <n v="0"/>
    <s v="CUST-3433"/>
    <s v="Aarav Sharma"/>
    <s v="Home Office"/>
    <x v="0"/>
    <x v="18"/>
    <s v="New Delhi"/>
    <x v="1"/>
    <s v="Chairs"/>
    <s v="Elite Chairs 372"/>
    <x v="1"/>
    <n v="6"/>
    <n v="3430.35"/>
    <n v="0"/>
    <n v="20582.099999999999"/>
    <n v="15897.65"/>
    <n v="4684.45"/>
    <x v="2"/>
    <s v="Cancelled"/>
  </r>
  <r>
    <x v="591"/>
    <x v="394"/>
    <d v="2024-02-24T00:00:00"/>
    <n v="2"/>
    <s v="CUST-2423"/>
    <s v="Sneha Kapoor"/>
    <s v="Consumer"/>
    <x v="2"/>
    <x v="11"/>
    <s v="Bengaluru"/>
    <x v="2"/>
    <s v="Copiers"/>
    <s v="Eco Copiers 324"/>
    <x v="2"/>
    <n v="3"/>
    <n v="3545.08"/>
    <n v="0"/>
    <n v="10635.24"/>
    <n v="6031.88"/>
    <n v="4603.3599999999997"/>
    <x v="3"/>
    <s v="Returned"/>
  </r>
  <r>
    <x v="592"/>
    <x v="23"/>
    <d v="2024-09-03T00:00:00"/>
    <n v="153"/>
    <s v="CUST-3559"/>
    <s v="Mira Das"/>
    <s v="Consumer"/>
    <x v="1"/>
    <x v="6"/>
    <s v="Kolkata"/>
    <x v="2"/>
    <s v="Accessories"/>
    <s v="Classic Accessories 131"/>
    <x v="1"/>
    <n v="8"/>
    <n v="4401.41"/>
    <n v="0.15"/>
    <n v="29929.59"/>
    <n v="22436.03"/>
    <n v="7493.56"/>
    <x v="0"/>
    <s v="Completed"/>
  </r>
  <r>
    <x v="593"/>
    <x v="74"/>
    <d v="2025-09-29T00:00:00"/>
    <n v="2"/>
    <s v="CUST-2917"/>
    <s v="Arjun Bose"/>
    <s v="Home Office"/>
    <x v="0"/>
    <x v="8"/>
    <s v="Noida"/>
    <x v="1"/>
    <s v="Tables"/>
    <s v="Eco Tables 550"/>
    <x v="0"/>
    <n v="9"/>
    <n v="4100.1099999999997"/>
    <n v="0.25"/>
    <n v="27675.74"/>
    <n v="15571.08"/>
    <n v="12104.66"/>
    <x v="0"/>
    <s v="Completed"/>
  </r>
  <r>
    <x v="594"/>
    <x v="277"/>
    <d v="2024-09-21T00:00:00"/>
    <n v="2"/>
    <s v="CUST-6850"/>
    <s v="Karan Malhotra"/>
    <s v="Small Business"/>
    <x v="1"/>
    <x v="6"/>
    <s v="Kolkata"/>
    <x v="1"/>
    <s v="Chairs"/>
    <s v="Basic Chairs 932"/>
    <x v="2"/>
    <n v="3"/>
    <n v="3981.76"/>
    <n v="0"/>
    <n v="11945.28"/>
    <n v="9700.31"/>
    <n v="2244.9699999999998"/>
    <x v="0"/>
    <s v="Completed"/>
  </r>
  <r>
    <x v="595"/>
    <x v="395"/>
    <d v="2025-02-16T00:00:00"/>
    <n v="5"/>
    <s v="CUST-5566"/>
    <s v="Mira Das"/>
    <s v="Corporate"/>
    <x v="0"/>
    <x v="8"/>
    <s v="Noida"/>
    <x v="2"/>
    <s v="Phones"/>
    <s v="Classic Phones 294"/>
    <x v="2"/>
    <n v="8"/>
    <n v="1825.56"/>
    <n v="0.1"/>
    <n v="13144.03"/>
    <n v="9764"/>
    <n v="3380.03"/>
    <x v="0"/>
    <s v="Completed"/>
  </r>
  <r>
    <x v="596"/>
    <x v="396"/>
    <d v="2024-04-16T00:00:00"/>
    <n v="-171"/>
    <s v="CUST-2593"/>
    <s v="Aditi Sen"/>
    <s v="Consumer"/>
    <x v="2"/>
    <x v="13"/>
    <s v="Kochi"/>
    <x v="1"/>
    <s v="Chairs"/>
    <s v="Elite Chairs 700"/>
    <x v="0"/>
    <n v="9"/>
    <n v="2723.26"/>
    <n v="0.25"/>
    <n v="18382.009999999998"/>
    <n v="13108.2"/>
    <n v="5273.81"/>
    <x v="0"/>
    <s v="Completed"/>
  </r>
  <r>
    <x v="597"/>
    <x v="373"/>
    <d v="2025-07-08T00:00:00"/>
    <n v="-30"/>
    <s v="CUST-6957"/>
    <s v="Aditi Sen"/>
    <s v="Consumer"/>
    <x v="2"/>
    <x v="2"/>
    <s v="Hyderabad"/>
    <x v="2"/>
    <s v="Copiers"/>
    <s v="Prime Copiers 969"/>
    <x v="1"/>
    <n v="9"/>
    <n v="274.88"/>
    <n v="0.25"/>
    <n v="1855.44"/>
    <n v="1262.74"/>
    <n v="592.70000000000005"/>
    <x v="0"/>
    <s v="Completed"/>
  </r>
  <r>
    <x v="598"/>
    <x v="397"/>
    <d v="2024-08-24T00:00:00"/>
    <n v="7"/>
    <s v="CUST-8498"/>
    <s v="Ananya Rao"/>
    <s v="Corporate"/>
    <x v="1"/>
    <x v="6"/>
    <s v="Kolkata"/>
    <x v="2"/>
    <s v="Copiers"/>
    <s v="Eco Copiers 268"/>
    <x v="1"/>
    <n v="3"/>
    <n v="1490.69"/>
    <n v="0.25"/>
    <n v="3354.05"/>
    <n v="2672.67"/>
    <n v="681.38"/>
    <x v="0"/>
    <s v="Completed"/>
  </r>
  <r>
    <x v="599"/>
    <x v="398"/>
    <d v="2024-08-21T00:00:00"/>
    <n v="2"/>
    <s v="CUST-2612"/>
    <s v="Arjun Bose"/>
    <s v="Consumer"/>
    <x v="0"/>
    <x v="7"/>
    <s v="Ludhiana"/>
    <x v="2"/>
    <s v="Phones"/>
    <s v="Pro Phones 588"/>
    <x v="2"/>
    <n v="3"/>
    <n v="1103.54"/>
    <n v="0.25"/>
    <n v="2482.9699999999998"/>
    <n v="1621.72"/>
    <n v="861.25"/>
    <x v="0"/>
    <s v="Completed"/>
  </r>
  <r>
    <x v="600"/>
    <x v="323"/>
    <d v="2025-12-03T00:00:00"/>
    <n v="214"/>
    <s v="CUST-6013"/>
    <s v="Ananya Rao"/>
    <s v="Corporate"/>
    <x v="3"/>
    <x v="4"/>
    <s v="Indore"/>
    <x v="0"/>
    <s v="Storage"/>
    <s v="Prime Storage 432"/>
    <x v="1"/>
    <n v="3"/>
    <n v="3682.75"/>
    <m/>
    <n v="11048.25"/>
    <n v="9062.7199999999993"/>
    <n v="1985.53"/>
    <x v="0"/>
    <s v="Completed"/>
  </r>
  <r>
    <x v="601"/>
    <x v="90"/>
    <d v="2024-01-31T00:00:00"/>
    <n v="5"/>
    <s v="CUST-8289"/>
    <s v="Ananya Rao"/>
    <s v="Home Office"/>
    <x v="1"/>
    <x v="6"/>
    <s v="Kolkata"/>
    <x v="0"/>
    <s v="Paper"/>
    <s v="Basic Paper 452"/>
    <x v="0"/>
    <n v="5"/>
    <n v="1615.03"/>
    <n v="0.2"/>
    <n v="6460.12"/>
    <n v="3604.03"/>
    <n v="2856.09"/>
    <x v="0"/>
    <s v="Completed"/>
  </r>
  <r>
    <x v="602"/>
    <x v="356"/>
    <d v="2024-10-30T00:00:00"/>
    <n v="7"/>
    <s v="CUST-5668"/>
    <s v="Aarav Sharma"/>
    <s v="Consumer"/>
    <x v="1"/>
    <x v="15"/>
    <s v="Ranchi"/>
    <x v="2"/>
    <s v="Copiers"/>
    <s v="Max Copiers 477"/>
    <x v="0"/>
    <n v="9"/>
    <n v="3423.82"/>
    <n v="0.15"/>
    <n v="26192.22"/>
    <n v="20795.55"/>
    <n v="5396.67"/>
    <x v="0"/>
    <s v="Completed"/>
  </r>
  <r>
    <x v="603"/>
    <x v="306"/>
    <d v="2025-11-01T00:00:00"/>
    <n v="302"/>
    <s v="CUST-5808"/>
    <s v="Vikram Iyer"/>
    <s v="Corporate"/>
    <x v="1"/>
    <x v="9"/>
    <s v="Patna"/>
    <x v="2"/>
    <s v="Accessories"/>
    <s v="Prime Accessories 300"/>
    <x v="2"/>
    <n v="8"/>
    <n v="2574.29"/>
    <n v="0.05"/>
    <n v="19564.599999999999"/>
    <n v="11154.59"/>
    <n v="8410.01"/>
    <x v="2"/>
    <s v="Cancelled"/>
  </r>
  <r>
    <x v="604"/>
    <x v="94"/>
    <d v="2025-02-06T00:00:00"/>
    <n v="-85"/>
    <s v="CUST-4526"/>
    <s v="Ananya Rao"/>
    <s v="Consumer"/>
    <x v="3"/>
    <x v="4"/>
    <s v="Indore"/>
    <x v="0"/>
    <s v="Binders"/>
    <s v="Max Binders 547"/>
    <x v="1"/>
    <n v="3"/>
    <n v="1076.3"/>
    <n v="0"/>
    <n v="3228.9"/>
    <n v="1853.23"/>
    <n v="1375.67"/>
    <x v="0"/>
    <s v="Completed"/>
  </r>
  <r>
    <x v="605"/>
    <x v="399"/>
    <d v="2025-07-13T00:00:00"/>
    <n v="-56"/>
    <s v="CUST-4447"/>
    <s v="Kabir Singh"/>
    <s v="Corporate"/>
    <x v="3"/>
    <x v="14"/>
    <s v="Panaji"/>
    <x v="1"/>
    <s v="Furnishings"/>
    <s v="Pro Furnishings 267"/>
    <x v="0"/>
    <n v="5"/>
    <n v="1680.01"/>
    <s v="85%"/>
    <n v="7560.04"/>
    <n v="6448.05"/>
    <n v="1111.99"/>
    <x v="0"/>
    <s v="Cancelled"/>
  </r>
  <r>
    <x v="606"/>
    <x v="400"/>
    <d v="2025-02-28T00:00:00"/>
    <n v="6"/>
    <s v="CUST-2698"/>
    <s v="Rahul Verma"/>
    <s v="Home Office"/>
    <x v="3"/>
    <x v="4"/>
    <s v="Indore"/>
    <x v="2"/>
    <s v="Copiers"/>
    <s v="Max Copiers 520"/>
    <x v="1"/>
    <n v="3"/>
    <n v="3890.81"/>
    <n v="0.25"/>
    <n v="8754.32"/>
    <n v="6238.9"/>
    <n v="2515.42"/>
    <x v="0"/>
    <s v="Completed"/>
  </r>
  <r>
    <x v="607"/>
    <x v="401"/>
    <d v="2025-02-22T00:00:00"/>
    <n v="6"/>
    <s v="CUST-6297"/>
    <s v="Sneha Kapoor"/>
    <s v="Home Office"/>
    <x v="1"/>
    <x v="9"/>
    <s v="Patna"/>
    <x v="0"/>
    <s v="Storage"/>
    <s v="Max Storage 424"/>
    <x v="1"/>
    <n v="5"/>
    <n v="954.67"/>
    <n v="0.15"/>
    <n v="4057.35"/>
    <n v="2862.03"/>
    <n v="1195.32"/>
    <x v="0"/>
    <s v="Completed"/>
  </r>
  <r>
    <x v="608"/>
    <x v="210"/>
    <d v="2024-06-23T00:00:00"/>
    <n v="2"/>
    <s v="CUST-7690"/>
    <s v="Karan Malhotra"/>
    <s v="Home Office"/>
    <x v="3"/>
    <x v="14"/>
    <s v="Panaji"/>
    <x v="1"/>
    <s v="Furnishings"/>
    <s v="Elite Furnishings 706"/>
    <x v="0"/>
    <n v="9"/>
    <n v="2153.75"/>
    <n v="0"/>
    <n v="19383.75"/>
    <n v="11667.43"/>
    <n v="7716.32"/>
    <x v="0"/>
    <s v="Completed"/>
  </r>
  <r>
    <x v="609"/>
    <x v="200"/>
    <d v="2025-12-01T00:00:00"/>
    <n v="122"/>
    <s v="CUST-4380"/>
    <s v="Sneha Kapoor"/>
    <s v="Home Office"/>
    <x v="2"/>
    <x v="11"/>
    <s v="Bengaluru"/>
    <x v="1"/>
    <s v="Chairs"/>
    <s v="Pro Chairs 908"/>
    <x v="3"/>
    <n v="7"/>
    <n v="4337.4799999999996"/>
    <n v="0"/>
    <n v="30362.36"/>
    <n v="25065.4"/>
    <n v="5296.96"/>
    <x v="0"/>
    <s v="Completed"/>
  </r>
  <r>
    <x v="610"/>
    <x v="402"/>
    <d v="2024-05-20T00:00:00"/>
    <n v="0"/>
    <s v="CUST-2779"/>
    <s v="Karan Malhotra"/>
    <s v="Home Office"/>
    <x v="3"/>
    <x v="4"/>
    <s v="Indore"/>
    <x v="1"/>
    <s v="Chairs"/>
    <s v="Pro Chairs 712"/>
    <x v="3"/>
    <n v="1"/>
    <n v="3032.95"/>
    <n v="0.1"/>
    <n v="2729.65"/>
    <n v="1715.36"/>
    <n v="1014.29"/>
    <x v="0"/>
    <s v="Completed"/>
  </r>
  <r>
    <x v="611"/>
    <x v="373"/>
    <d v="2025-07-15T00:00:00"/>
    <n v="-23"/>
    <s v="CUST-6108"/>
    <s v="Ananya Rao"/>
    <s v="Small Business"/>
    <x v="0"/>
    <x v="0"/>
    <s v="Jaipur"/>
    <x v="0"/>
    <s v="Binders"/>
    <s v="Max Binders 785"/>
    <x v="1"/>
    <n v="8"/>
    <n v="655.28"/>
    <n v="0.1"/>
    <n v="4718.0200000000004"/>
    <n v="3908.23"/>
    <n v="809.79"/>
    <x v="0"/>
    <s v="Completed"/>
  </r>
  <r>
    <x v="612"/>
    <x v="202"/>
    <d v="2025-04-13T00:00:00"/>
    <n v="-52"/>
    <s v="CUST-5663"/>
    <s v="Aditi Sen"/>
    <s v="Consumer"/>
    <x v="4"/>
    <x v="1"/>
    <s v="Bhubaneswar"/>
    <x v="2"/>
    <s v="Phones"/>
    <s v="Elite Phones 239"/>
    <x v="3"/>
    <n v="1"/>
    <n v="3844.01"/>
    <n v="0"/>
    <n v="3844.01"/>
    <n v="2195.79"/>
    <n v="1648.22"/>
    <x v="0"/>
    <s v="Completed"/>
  </r>
  <r>
    <x v="613"/>
    <x v="403"/>
    <d v="2024-10-10T00:00:00"/>
    <n v="153"/>
    <s v="CUST-9311"/>
    <s v="Diya Patel"/>
    <s v="Home Office"/>
    <x v="3"/>
    <x v="12"/>
    <s v="Ahmedabad"/>
    <x v="2"/>
    <s v="Machines"/>
    <s v="Basic Machines 413"/>
    <x v="1"/>
    <n v="9"/>
    <n v="3361.3"/>
    <n v="0.25"/>
    <n v="22688.78"/>
    <n v="14672.41"/>
    <n v="8016.37"/>
    <x v="0"/>
    <s v="Completed"/>
  </r>
  <r>
    <x v="614"/>
    <x v="68"/>
    <d v="2024-02-19T00:00:00"/>
    <n v="-257"/>
    <s v="CUST-8154"/>
    <s v="Ananya Rao"/>
    <s v="Home Office"/>
    <x v="2"/>
    <x v="2"/>
    <s v="Hyderabad"/>
    <x v="1"/>
    <s v="Chairs"/>
    <s v="Elite Chairs 140"/>
    <x v="3"/>
    <n v="8"/>
    <n v="3398.32"/>
    <n v="0.25"/>
    <n v="20389.919999999998"/>
    <n v="16661.080000000002"/>
    <n v="3728.84"/>
    <x v="1"/>
    <s v="Cancelled"/>
  </r>
  <r>
    <x v="615"/>
    <x v="404"/>
    <d v="2024-10-07T00:00:00"/>
    <n v="180"/>
    <s v="CUST-4462"/>
    <s v="Rahul Verma"/>
    <s v="Corporate"/>
    <x v="2"/>
    <x v="13"/>
    <s v="Kochi"/>
    <x v="0"/>
    <s v="Art"/>
    <s v="Basic Art 771"/>
    <x v="0"/>
    <n v="2"/>
    <n v="3144.38"/>
    <n v="0.1"/>
    <n v="5904.57"/>
    <n v="4337.79"/>
    <n v="1322.09"/>
    <x v="0"/>
    <s v="Completed"/>
  </r>
  <r>
    <x v="616"/>
    <x v="405"/>
    <d v="2024-08-19T00:00:00"/>
    <n v="3"/>
    <s v="CUST-4660"/>
    <s v="Kabir Singh"/>
    <s v="Consumer"/>
    <x v="2"/>
    <x v="2"/>
    <s v="Hyderabad"/>
    <x v="0"/>
    <s v="Paper"/>
    <s v="Prime Paper 664"/>
    <x v="3"/>
    <n v="6"/>
    <n v="3925.55"/>
    <n v="0.2"/>
    <n v="18842.64"/>
    <n v="11840.58"/>
    <n v="7002.06"/>
    <x v="0"/>
    <s v="Completed"/>
  </r>
  <r>
    <x v="617"/>
    <x v="406"/>
    <d v="2024-09-30T00:00:00"/>
    <n v="1"/>
    <s v="CUST-9002"/>
    <s v="Mira Das"/>
    <s v="Home Office"/>
    <x v="2"/>
    <x v="2"/>
    <s v="Hyderabad"/>
    <x v="2"/>
    <s v="Phones"/>
    <s v="Pro Phones 226"/>
    <x v="3"/>
    <n v="9"/>
    <n v="2741.91"/>
    <n v="0"/>
    <n v="24677.19"/>
    <n v="20350.849999999999"/>
    <n v="4326.34"/>
    <x v="0"/>
    <s v="Completed"/>
  </r>
  <r>
    <x v="618"/>
    <x v="407"/>
    <d v="2024-07-30T00:00:00"/>
    <n v="7"/>
    <s v="CUST-1057"/>
    <s v="Kabir Singh"/>
    <s v="Corporate"/>
    <x v="0"/>
    <x v="0"/>
    <s v="Jaipur"/>
    <x v="1"/>
    <s v="Tables"/>
    <s v="Basic Tables 684"/>
    <x v="1"/>
    <n v="9"/>
    <n v="1870.11"/>
    <n v="0.25"/>
    <n v="12623.24"/>
    <n v="10540.8"/>
    <n v="2082.44"/>
    <x v="3"/>
    <s v="Cancelled"/>
  </r>
  <r>
    <x v="619"/>
    <x v="30"/>
    <d v="2024-11-27T00:00:00"/>
    <n v="5"/>
    <s v="CUST-9596"/>
    <s v="Priya Menon"/>
    <s v="Corporate"/>
    <x v="2"/>
    <x v="17"/>
    <s v="Chennai"/>
    <x v="0"/>
    <s v="Binders"/>
    <s v="Prime Binders 938"/>
    <x v="2"/>
    <n v="1"/>
    <n v="4251.26"/>
    <n v="0.2"/>
    <n v="3401.01"/>
    <n v="2917.54"/>
    <n v="483.47"/>
    <x v="1"/>
    <s v="Returned"/>
  </r>
  <r>
    <x v="620"/>
    <x v="220"/>
    <d v="2024-08-21T00:00:00"/>
    <n v="3"/>
    <s v="CUST-6947"/>
    <s v="Vikram Iyer"/>
    <s v="Consumer"/>
    <x v="0"/>
    <x v="8"/>
    <s v="Noida"/>
    <x v="2"/>
    <s v="Machines"/>
    <s v="Classic Machines 337"/>
    <x v="3"/>
    <n v="9"/>
    <n v="734.34"/>
    <n v="0"/>
    <n v="6609.06"/>
    <n v="4946.78"/>
    <n v="1662.28"/>
    <x v="0"/>
    <s v="Completed"/>
  </r>
  <r>
    <x v="621"/>
    <x v="3"/>
    <d v="2024-06-12T00:00:00"/>
    <n v="-169"/>
    <s v="CUST-7236"/>
    <s v="Aditi Sen"/>
    <s v="Consumer"/>
    <x v="3"/>
    <x v="3"/>
    <s v="Mumbai"/>
    <x v="1"/>
    <s v="Chairs"/>
    <s v="Max Chairs 748"/>
    <x v="1"/>
    <n v="5"/>
    <n v="1092.8399999999999"/>
    <m/>
    <n v="5464.2"/>
    <n v="3318.09"/>
    <n v="2146.11"/>
    <x v="0"/>
    <s v="Completed"/>
  </r>
  <r>
    <x v="622"/>
    <x v="297"/>
    <d v="2025-06-02T00:00:00"/>
    <n v="124"/>
    <s v="CUST-1127"/>
    <s v="Vikram Iyer"/>
    <s v="Consumer"/>
    <x v="1"/>
    <x v="9"/>
    <s v="Patna"/>
    <x v="0"/>
    <s v="Storage"/>
    <s v="Basic Storage 934"/>
    <x v="3"/>
    <n v="4"/>
    <n v="2759.01"/>
    <n v="0.05"/>
    <n v="10484.24"/>
    <n v="6680.15"/>
    <n v="3804.09"/>
    <x v="0"/>
    <s v="Completed"/>
  </r>
  <r>
    <x v="623"/>
    <x v="408"/>
    <d v="2024-08-14T00:00:00"/>
    <n v="6"/>
    <s v="CUST-6262"/>
    <s v="Vikram Iyer"/>
    <s v="Home Office"/>
    <x v="0"/>
    <x v="7"/>
    <s v="Ludhiana"/>
    <x v="0"/>
    <s v="Storage"/>
    <s v="Pro Storage 509"/>
    <x v="0"/>
    <n v="8"/>
    <n v="1359.19"/>
    <n v="0.05"/>
    <n v="10329.84"/>
    <n v="7512.22"/>
    <n v="2817.62"/>
    <x v="0"/>
    <s v="Completed"/>
  </r>
  <r>
    <x v="624"/>
    <x v="126"/>
    <d v="2024-01-02T00:00:00"/>
    <n v="-28"/>
    <s v="CUST-5070"/>
    <s v="Neha Gupta"/>
    <s v="Home Office"/>
    <x v="1"/>
    <x v="10"/>
    <s v="Guwahati"/>
    <x v="1"/>
    <s v="Chairs"/>
    <s v="Prime Chairs 765"/>
    <x v="2"/>
    <n v="2"/>
    <n v="4451.03"/>
    <n v="0.05"/>
    <n v="8456.9599999999991"/>
    <n v="5462.85"/>
    <n v="2994.11"/>
    <x v="0"/>
    <s v="Completed"/>
  </r>
  <r>
    <x v="625"/>
    <x v="353"/>
    <d v="2024-12-21T00:00:00"/>
    <n v="6"/>
    <s v="CUST-7946"/>
    <s v="Diya Patel"/>
    <s v="Corporate"/>
    <x v="3"/>
    <x v="0"/>
    <s v="Udaipur"/>
    <x v="1"/>
    <s v="Chairs"/>
    <s v="Elite Chairs 358"/>
    <x v="1"/>
    <n v="3"/>
    <n v="527.66999999999996"/>
    <n v="0.2"/>
    <n v="1266.4100000000001"/>
    <n v="983.92"/>
    <n v="282.49"/>
    <x v="0"/>
    <s v="Completed"/>
  </r>
  <r>
    <x v="626"/>
    <x v="189"/>
    <d v="2025-06-07T00:00:00"/>
    <n v="62"/>
    <s v="CUST-1793"/>
    <s v="Sneha Kapoor"/>
    <s v="Home Office"/>
    <x v="1"/>
    <x v="10"/>
    <s v="Guwahati"/>
    <x v="2"/>
    <s v="Machines"/>
    <s v="Elite Machines 971"/>
    <x v="3"/>
    <n v="8"/>
    <n v="1434.13"/>
    <n v="0"/>
    <n v="11473.04"/>
    <n v="8931.33"/>
    <n v="2541.71"/>
    <x v="2"/>
    <s v="Returned"/>
  </r>
  <r>
    <x v="627"/>
    <x v="221"/>
    <d v="2025-02-21T00:00:00"/>
    <n v="8"/>
    <s v="CUST-8839"/>
    <s v="Karan Malhotra"/>
    <s v="Small Business"/>
    <x v="2"/>
    <x v="13"/>
    <s v="Kochi"/>
    <x v="2"/>
    <s v="Phones"/>
    <s v="Max Phones 825"/>
    <x v="0"/>
    <n v="2"/>
    <n v="2360.02"/>
    <n v="0.15"/>
    <n v="4012.03"/>
    <n v="3142.92"/>
    <n v="869.11"/>
    <x v="2"/>
    <s v="Cancelled"/>
  </r>
  <r>
    <x v="628"/>
    <x v="367"/>
    <d v="2025-12-10T00:00:00"/>
    <n v="214"/>
    <s v="CUST-6725"/>
    <s v="Ananya Rao"/>
    <s v="Home Office"/>
    <x v="1"/>
    <x v="15"/>
    <s v="Ranchi"/>
    <x v="2"/>
    <s v="Accessories"/>
    <s v="Eco Accessories 933"/>
    <x v="1"/>
    <n v="7"/>
    <n v="806.67"/>
    <n v="0.05"/>
    <n v="5364.36"/>
    <n v="4391.29"/>
    <n v="973.07"/>
    <x v="0"/>
    <s v="Completed"/>
  </r>
  <r>
    <x v="629"/>
    <x v="409"/>
    <d v="2025-09-14T00:00:00"/>
    <n v="4"/>
    <s v="CUST-3793"/>
    <s v="Arjun Bose"/>
    <s v="Home Office"/>
    <x v="3"/>
    <x v="12"/>
    <s v="Ahmedabad"/>
    <x v="1"/>
    <s v="Tables"/>
    <s v="Max Tables 908"/>
    <x v="1"/>
    <n v="3"/>
    <n v="4198.46"/>
    <n v="0.15"/>
    <n v="10706.07"/>
    <n v="5927.1"/>
    <n v="4778.97"/>
    <x v="0"/>
    <s v="Completed"/>
  </r>
  <r>
    <x v="630"/>
    <x v="65"/>
    <d v="2024-10-04T00:00:00"/>
    <n v="30"/>
    <s v="CUST-6075"/>
    <s v="Priya Menon"/>
    <s v="Corporate"/>
    <x v="1"/>
    <x v="10"/>
    <s v="Guwahati"/>
    <x v="0"/>
    <s v="Paper"/>
    <s v="Elite Paper 239"/>
    <x v="3"/>
    <n v="4"/>
    <n v="3047.05"/>
    <n v="0.1"/>
    <n v="10969.38"/>
    <n v="9254.4599999999991"/>
    <n v="1714.92"/>
    <x v="0"/>
    <s v="Completed"/>
  </r>
  <r>
    <x v="631"/>
    <x v="396"/>
    <d v="2024-04-15T00:00:00"/>
    <n v="-172"/>
    <s v="CUST-6381"/>
    <s v="Aarav Sharma"/>
    <s v="Home Office"/>
    <x v="3"/>
    <x v="0"/>
    <s v="Udaipur"/>
    <x v="1"/>
    <s v="Chairs"/>
    <s v="Eco Chairs 452"/>
    <x v="3"/>
    <n v="8"/>
    <n v="4362.4799999999996"/>
    <n v="0.1"/>
    <n v="31409.86"/>
    <n v="22523.54"/>
    <n v="8886.32"/>
    <x v="0"/>
    <s v="Completed"/>
  </r>
  <r>
    <x v="632"/>
    <x v="354"/>
    <d v="2025-04-16T00:00:00"/>
    <n v="1"/>
    <s v="CUST-4593"/>
    <s v="Sneha Kapoor"/>
    <s v="Small Business"/>
    <x v="2"/>
    <x v="11"/>
    <s v="Bengaluru"/>
    <x v="1"/>
    <s v="Furnishings"/>
    <s v="Smart Furnishings 721"/>
    <x v="2"/>
    <n v="5"/>
    <n v="2850.53"/>
    <n v="0"/>
    <n v="14252.65"/>
    <n v="11558.31"/>
    <n v="2694.34"/>
    <x v="0"/>
    <s v="Completed"/>
  </r>
  <r>
    <x v="633"/>
    <x v="410"/>
    <d v="2025-04-20T00:00:00"/>
    <n v="2"/>
    <s v="CUST-5043"/>
    <s v="Aarav Sharma"/>
    <s v="Small Business"/>
    <x v="2"/>
    <x v="17"/>
    <s v="Chennai"/>
    <x v="2"/>
    <s v="Accessories"/>
    <s v="Basic Accessories 729"/>
    <x v="0"/>
    <n v="1"/>
    <n v="1626.08"/>
    <n v="0.15"/>
    <n v="1382.17"/>
    <n v="810.03"/>
    <n v="572.14"/>
    <x v="0"/>
    <s v="Completed"/>
  </r>
  <r>
    <x v="634"/>
    <x v="411"/>
    <d v="2025-12-01T00:00:00"/>
    <n v="324"/>
    <s v="CUST-4722"/>
    <s v="Aditi Sen"/>
    <s v="Consumer"/>
    <x v="2"/>
    <x v="2"/>
    <s v="Hyderabad"/>
    <x v="1"/>
    <s v="Chairs"/>
    <s v="Classic Chairs 220"/>
    <x v="0"/>
    <n v="4"/>
    <n v="2427.15"/>
    <n v="0.05"/>
    <n v="9223.17"/>
    <n v="5103.7"/>
    <n v="4119.47"/>
    <x v="0"/>
    <s v="Completed"/>
  </r>
  <r>
    <x v="635"/>
    <x v="402"/>
    <d v="2024-05-25T00:00:00"/>
    <n v="5"/>
    <s v="CUST-7931"/>
    <s v="Mira Das"/>
    <s v="Corporate"/>
    <x v="2"/>
    <x v="5"/>
    <s v="Vijayawada"/>
    <x v="1"/>
    <s v="Chairs"/>
    <s v="Max Chairs 305"/>
    <x v="1"/>
    <n v="7"/>
    <n v="3122.85"/>
    <n v="0.25"/>
    <n v="16394.96"/>
    <n v="10404.17"/>
    <n v="5990.79"/>
    <x v="0"/>
    <s v="Completed"/>
  </r>
  <r>
    <x v="636"/>
    <x v="412"/>
    <d v="2024-09-10T00:00:00"/>
    <n v="213"/>
    <s v="CUST-7221"/>
    <s v="Ananya Rao"/>
    <s v="Consumer"/>
    <x v="2"/>
    <x v="17"/>
    <s v="Chennai"/>
    <x v="0"/>
    <s v="Paper"/>
    <s v="Smart Paper 872"/>
    <x v="3"/>
    <n v="8"/>
    <n v="1910.31"/>
    <n v="0.15"/>
    <n v="12990.11"/>
    <n v="10200.799999999999"/>
    <n v="2789.31"/>
    <x v="0"/>
    <s v="Completed"/>
  </r>
  <r>
    <x v="637"/>
    <x v="413"/>
    <d v="2024-05-26T00:00:00"/>
    <n v="0"/>
    <s v="CUST-2594"/>
    <s v="Rahul Verma"/>
    <s v="Small Business"/>
    <x v="3"/>
    <x v="14"/>
    <s v="Panaji"/>
    <x v="2"/>
    <s v="Copiers"/>
    <s v="Max Copiers 994"/>
    <x v="2"/>
    <n v="2"/>
    <n v="3192.47"/>
    <n v="0.2"/>
    <n v="5107.95"/>
    <n v="3133.08"/>
    <n v="1974.87"/>
    <x v="0"/>
    <s v="Completed"/>
  </r>
  <r>
    <x v="638"/>
    <x v="90"/>
    <d v="2024-01-31T00:00:00"/>
    <n v="5"/>
    <s v="CUST-2111"/>
    <s v="Karan Malhotra"/>
    <s v="Corporate"/>
    <x v="2"/>
    <x v="13"/>
    <s v="Kochi"/>
    <x v="0"/>
    <s v="Storage"/>
    <s v="Pro Storage 744"/>
    <x v="0"/>
    <n v="3"/>
    <n v="3224.32"/>
    <n v="0.2"/>
    <n v="7738.37"/>
    <n v="4626.8500000000004"/>
    <n v="3111.52"/>
    <x v="3"/>
    <s v="Returned"/>
  </r>
  <r>
    <x v="639"/>
    <x v="14"/>
    <d v="2024-12-31T00:00:00"/>
    <n v="4"/>
    <s v="CUST-6829"/>
    <s v="Isha Nair"/>
    <s v="Small Business"/>
    <x v="1"/>
    <x v="1"/>
    <s v="Bhubaneswar"/>
    <x v="1"/>
    <s v="Chairs"/>
    <s v="Elite Chairs 744"/>
    <x v="0"/>
    <n v="1"/>
    <n v="1594.7"/>
    <n v="0.05"/>
    <n v="1514.96"/>
    <n v="1046.17"/>
    <n v="468.79"/>
    <x v="0"/>
    <s v="Completed"/>
  </r>
  <r>
    <x v="640"/>
    <x v="414"/>
    <d v="2025-01-17T00:00:00"/>
    <n v="3"/>
    <s v="CUST-5061"/>
    <s v="Vikram Iyer"/>
    <s v="Consumer"/>
    <x v="3"/>
    <x v="14"/>
    <s v="Panaji"/>
    <x v="0"/>
    <s v="Storage"/>
    <s v="Basic Storage 973"/>
    <x v="2"/>
    <n v="1"/>
    <n v="1584.12"/>
    <n v="0.2"/>
    <n v="1267.3"/>
    <n v="923.53"/>
    <n v="343.77"/>
    <x v="0"/>
    <s v="Completed"/>
  </r>
  <r>
    <x v="641"/>
    <x v="415"/>
    <d v="2025-04-14T00:00:00"/>
    <n v="-143"/>
    <s v="CUST-7915"/>
    <s v="Karan Malhotra"/>
    <s v="Consumer"/>
    <x v="0"/>
    <x v="18"/>
    <s v="New Delhi"/>
    <x v="1"/>
    <s v="Furnishings"/>
    <s v="Smart Furnishings 783"/>
    <x v="1"/>
    <n v="2"/>
    <n v="3202.87"/>
    <n v="0"/>
    <n v="6405.74"/>
    <n v="3561.87"/>
    <n v="2843.87"/>
    <x v="0"/>
    <s v="Completed"/>
  </r>
  <r>
    <x v="642"/>
    <x v="296"/>
    <d v="2024-08-31T00:00:00"/>
    <n v="2"/>
    <s v="CUST-1940"/>
    <s v="Isha Nair"/>
    <s v="Home Office"/>
    <x v="1"/>
    <x v="10"/>
    <s v="Guwahati"/>
    <x v="0"/>
    <s v="Binders"/>
    <s v="Prime Binders 287"/>
    <x v="0"/>
    <n v="9"/>
    <n v="1275.21"/>
    <n v="0.25"/>
    <n v="8607.67"/>
    <n v="5337.64"/>
    <n v="3270.03"/>
    <x v="3"/>
    <s v="Returned"/>
  </r>
  <r>
    <x v="643"/>
    <x v="416"/>
    <d v="2024-02-13T00:00:00"/>
    <n v="-79"/>
    <s v="CUST-1986"/>
    <s v="Aarav Sharma"/>
    <s v="Home Office"/>
    <x v="0"/>
    <x v="8"/>
    <s v="Noida"/>
    <x v="0"/>
    <s v="Labels"/>
    <s v="Elite Labels 654"/>
    <x v="3"/>
    <n v="8"/>
    <n v="3871.18"/>
    <n v="0.15"/>
    <n v="26324.02"/>
    <n v="16277.96"/>
    <n v="10046.06"/>
    <x v="3"/>
    <s v="Returned"/>
  </r>
  <r>
    <x v="644"/>
    <x v="185"/>
    <d v="2025-04-17T00:00:00"/>
    <n v="-170"/>
    <s v="CUST-5549"/>
    <s v="Vikram Iyer"/>
    <s v="Consumer"/>
    <x v="1"/>
    <x v="6"/>
    <s v="Kolkata"/>
    <x v="1"/>
    <s v="Chairs"/>
    <s v="Pro Chairs 812"/>
    <x v="3"/>
    <n v="4"/>
    <n v="3750.02"/>
    <n v="0.05"/>
    <n v="14250.08"/>
    <n v="10914.92"/>
    <n v="3335.16"/>
    <x v="0"/>
    <s v="Completed"/>
  </r>
  <r>
    <x v="645"/>
    <x v="330"/>
    <d v="2024-09-01T00:00:00"/>
    <n v="153"/>
    <s v="CUST-2314"/>
    <s v="Kabir Singh"/>
    <s v="Consumer"/>
    <x v="1"/>
    <x v="9"/>
    <s v="Patna"/>
    <x v="1"/>
    <s v="Chairs"/>
    <s v="Basic Chairs 480"/>
    <x v="0"/>
    <n v="6"/>
    <n v="2423.61"/>
    <n v="0.1"/>
    <n v="13087.49"/>
    <n v="7608.89"/>
    <n v="5133.22"/>
    <x v="0"/>
    <s v="Completed"/>
  </r>
  <r>
    <x v="646"/>
    <x v="417"/>
    <d v="2024-09-24T00:00:00"/>
    <n v="6"/>
    <s v="CUST-6360"/>
    <s v="Vikram Iyer"/>
    <s v="Small Business"/>
    <x v="1"/>
    <x v="15"/>
    <s v="Ranchi"/>
    <x v="2"/>
    <s v="Machines"/>
    <s v="Elite Machines 955"/>
    <x v="2"/>
    <n v="3"/>
    <n v="729.14"/>
    <n v="0.25"/>
    <n v="1640.57"/>
    <n v="1136.98"/>
    <n v="503.59"/>
    <x v="0"/>
    <s v="Completed"/>
  </r>
  <r>
    <x v="647"/>
    <x v="205"/>
    <d v="2025-09-01T00:00:00"/>
    <n v="243"/>
    <s v="CUST-9942"/>
    <s v="Rohan  Mehta"/>
    <s v="Small Business"/>
    <x v="0"/>
    <x v="7"/>
    <s v="Ludhiana"/>
    <x v="0"/>
    <s v="Art"/>
    <s v="Prime Art 461"/>
    <x v="2"/>
    <n v="8"/>
    <n v="2123.81"/>
    <n v="0.15"/>
    <n v="14441.91"/>
    <n v="10872.89"/>
    <n v="3569.02"/>
    <x v="0"/>
    <s v="Completed"/>
  </r>
  <r>
    <x v="648"/>
    <x v="418"/>
    <d v="2024-04-24T00:00:00"/>
    <n v="3"/>
    <s v="CUST-1808"/>
    <s v="Neha Gupta"/>
    <s v="Small Business"/>
    <x v="2"/>
    <x v="5"/>
    <s v="Vijayawada"/>
    <x v="0"/>
    <s v="Art"/>
    <s v="Prime Art 301"/>
    <x v="1"/>
    <n v="9"/>
    <n v="703.59"/>
    <n v="0.2"/>
    <n v="5065.8500000000004"/>
    <n v="3517.23"/>
    <n v="1548.62"/>
    <x v="3"/>
    <s v="Returned"/>
  </r>
  <r>
    <x v="649"/>
    <x v="419"/>
    <d v="2025-08-19T00:00:00"/>
    <n v="-81"/>
    <s v="CUST-7277"/>
    <s v="Kabir Singh"/>
    <s v="Small Business"/>
    <x v="2"/>
    <x v="13"/>
    <s v="Kochi"/>
    <x v="2"/>
    <s v="Accessories"/>
    <s v="Classic Accessories 354"/>
    <x v="3"/>
    <n v="4"/>
    <n v="2258.96"/>
    <n v="0.25"/>
    <n v="6776.88"/>
    <n v="3836.24"/>
    <n v="2940.64"/>
    <x v="0"/>
    <s v="Completed"/>
  </r>
  <r>
    <x v="650"/>
    <x v="420"/>
    <d v="2024-04-21T00:00:00"/>
    <n v="8"/>
    <s v="CUST-7744"/>
    <s v="Aarav Sharma"/>
    <s v="Home Office"/>
    <x v="1"/>
    <x v="9"/>
    <s v="Patna"/>
    <x v="2"/>
    <s v="Accessories"/>
    <s v="Basic Accessories 210"/>
    <x v="1"/>
    <n v="7"/>
    <n v="2648.76"/>
    <n v="0.15"/>
    <n v="15760.12"/>
    <n v="9931.5300000000007"/>
    <n v="5828.59"/>
    <x v="3"/>
    <s v="Returned"/>
  </r>
  <r>
    <x v="651"/>
    <x v="213"/>
    <d v="2025-09-08T00:00:00"/>
    <n v="92"/>
    <s v="CUST-2660"/>
    <s v="Mira Das"/>
    <s v="Small Business"/>
    <x v="2"/>
    <x v="5"/>
    <s v="Vijayawada"/>
    <x v="0"/>
    <s v="Paper"/>
    <s v="Smart Paper 364"/>
    <x v="0"/>
    <n v="3"/>
    <n v="598.54999999999995"/>
    <n v="0"/>
    <n v="1795.65"/>
    <n v="996.72"/>
    <n v="798.93"/>
    <x v="0"/>
    <s v="Completed"/>
  </r>
  <r>
    <x v="652"/>
    <x v="421"/>
    <d v="2025-03-21T00:00:00"/>
    <n v="4"/>
    <s v="CUST-8177"/>
    <s v="Sneha Kapoor"/>
    <s v="Consumer"/>
    <x v="0"/>
    <x v="8"/>
    <s v="Noida"/>
    <x v="0"/>
    <s v="Binders"/>
    <s v="Smart Binders 999"/>
    <x v="3"/>
    <n v="5"/>
    <n v="4320.59"/>
    <n v="0.15"/>
    <n v="18362.509999999998"/>
    <n v="11133.97"/>
    <n v="7228.54"/>
    <x v="0"/>
    <s v="Completed"/>
  </r>
  <r>
    <x v="653"/>
    <x v="422"/>
    <d v="2025-04-07T00:00:00"/>
    <n v="3"/>
    <s v="CUST-3970"/>
    <s v="Priya Menon"/>
    <s v="Small Business"/>
    <x v="2"/>
    <x v="17"/>
    <s v="Chennai"/>
    <x v="2"/>
    <s v="Copiers"/>
    <s v="Max Copiers 356"/>
    <x v="0"/>
    <n v="7"/>
    <n v="4457.93"/>
    <n v="0.15"/>
    <n v="26524.68"/>
    <n v="20574.3"/>
    <n v="5950.38"/>
    <x v="0"/>
    <s v="Completed"/>
  </r>
  <r>
    <x v="654"/>
    <x v="423"/>
    <d v="2025-10-16T00:00:00"/>
    <n v="4"/>
    <s v="CUST-8249"/>
    <s v="Diya Patel"/>
    <s v="Corporate"/>
    <x v="1"/>
    <x v="9"/>
    <s v="Patna"/>
    <x v="2"/>
    <s v="Machines"/>
    <s v="Classic Machines 639"/>
    <x v="1"/>
    <n v="1"/>
    <n v="2570.06"/>
    <n v="0.2"/>
    <n v="2056.0500000000002"/>
    <n v="1662.39"/>
    <n v="393.66"/>
    <x v="0"/>
    <s v="Completed"/>
  </r>
  <r>
    <x v="655"/>
    <x v="424"/>
    <d v="2025-08-26T00:00:00"/>
    <n v="0"/>
    <s v="CUST-8039"/>
    <s v="Neha Gupta"/>
    <s v="Home Office"/>
    <x v="1"/>
    <x v="6"/>
    <s v="Kolkata"/>
    <x v="1"/>
    <s v="Furnishings"/>
    <s v="Smart Furnishings 748"/>
    <x v="3"/>
    <n v="4"/>
    <n v="2151.8200000000002"/>
    <n v="0"/>
    <n v="8607.2800000000007"/>
    <n v="5124.01"/>
    <n v="3483.27"/>
    <x v="0"/>
    <s v="Completed"/>
  </r>
  <r>
    <x v="656"/>
    <x v="425"/>
    <d v="2024-05-14T00:00:00"/>
    <n v="-52"/>
    <s v="CUST-4446"/>
    <s v="Neha Gupta"/>
    <s v="Small Business"/>
    <x v="0"/>
    <x v="16"/>
    <s v="Gurugram"/>
    <x v="2"/>
    <s v="Machines"/>
    <s v="Pro Machines 589"/>
    <x v="1"/>
    <n v="4"/>
    <n v="2751.1"/>
    <n v="-0.05"/>
    <n v="9903.9599999999991"/>
    <n v="7696.28"/>
    <n v="2207.6799999999998"/>
    <x v="0"/>
    <s v="Completed"/>
  </r>
  <r>
    <x v="657"/>
    <x v="373"/>
    <d v="2025-10-08T00:00:00"/>
    <n v="62"/>
    <s v="CUST-7787"/>
    <s v="Aditi Sen"/>
    <s v="Home Office"/>
    <x v="1"/>
    <x v="9"/>
    <s v="Patna"/>
    <x v="0"/>
    <s v="Storage"/>
    <s v="Eco Storage 316"/>
    <x v="0"/>
    <n v="1"/>
    <n v="2541.25"/>
    <n v="0.2"/>
    <n v="2033"/>
    <n v="1291.4100000000001"/>
    <n v="741.59"/>
    <x v="0"/>
    <s v="Completed"/>
  </r>
  <r>
    <x v="658"/>
    <x v="289"/>
    <d v="2025-06-12T00:00:00"/>
    <n v="-86"/>
    <s v="CUST-9074"/>
    <s v="Sneha Kapoor"/>
    <s v="Consumer"/>
    <x v="4"/>
    <x v="9"/>
    <s v="Patna"/>
    <x v="0"/>
    <s v="Art"/>
    <s v="Eco Art 763"/>
    <x v="2"/>
    <n v="7"/>
    <n v="2852.42"/>
    <n v="0"/>
    <n v="19966.939999999999"/>
    <n v="12690.83"/>
    <n v="7276.11"/>
    <x v="1"/>
    <s v="Cancelled"/>
  </r>
  <r>
    <x v="659"/>
    <x v="20"/>
    <d v="2025-01-22T00:00:00"/>
    <n v="1"/>
    <s v="CUST-8330"/>
    <s v="Diya Patel"/>
    <s v="Corporate"/>
    <x v="2"/>
    <x v="11"/>
    <s v="Bengaluru"/>
    <x v="2"/>
    <s v="Phones"/>
    <s v="Pro Phones 356"/>
    <x v="0"/>
    <n v="2"/>
    <n v="444.31"/>
    <n v="0.2"/>
    <n v="710.9"/>
    <n v="513.88"/>
    <n v="197.02"/>
    <x v="1"/>
    <s v="Cancelled"/>
  </r>
  <r>
    <x v="660"/>
    <x v="18"/>
    <d v="2025-07-15T00:00:00"/>
    <n v="0"/>
    <s v="CUST-5638"/>
    <s v="Arjun Bose"/>
    <s v="Small Business"/>
    <x v="1"/>
    <x v="15"/>
    <s v="Ranchi"/>
    <x v="2"/>
    <s v="Phones"/>
    <s v="Basic Phones 865"/>
    <x v="1"/>
    <n v="4"/>
    <n v="4442.91"/>
    <n v="0.1"/>
    <n v="15994.48"/>
    <n v="9224.2800000000007"/>
    <n v="6770.2"/>
    <x v="0"/>
    <s v="Completed"/>
  </r>
  <r>
    <x v="661"/>
    <x v="348"/>
    <d v="2024-05-22T00:00:00"/>
    <n v="5"/>
    <s v="CUST-4537"/>
    <s v="Sneha Kapoor"/>
    <s v="Consumer"/>
    <x v="2"/>
    <x v="5"/>
    <s v="Vijayawada"/>
    <x v="2"/>
    <s v="Machines"/>
    <s v="Max Machines 595"/>
    <x v="0"/>
    <n v="7"/>
    <n v="232.5"/>
    <n v="0"/>
    <n v="1627.5"/>
    <n v="939.9"/>
    <n v="687.6"/>
    <x v="0"/>
    <s v="Completed"/>
  </r>
  <r>
    <x v="662"/>
    <x v="426"/>
    <d v="2024-01-18T00:00:00"/>
    <n v="4"/>
    <s v="CUST-3181"/>
    <s v="Mira Das"/>
    <s v="Home Office"/>
    <x v="3"/>
    <x v="0"/>
    <s v="Udaipur"/>
    <x v="2"/>
    <s v="Machines"/>
    <s v="Elite Machines 367"/>
    <x v="1"/>
    <n v="6"/>
    <n v="1784.8"/>
    <n v="0.1"/>
    <n v="9637.92"/>
    <n v="7329.29"/>
    <n v="2308.63"/>
    <x v="0"/>
    <s v="Completed"/>
  </r>
  <r>
    <x v="663"/>
    <x v="416"/>
    <d v="2024-08-05T00:00:00"/>
    <n v="95"/>
    <s v="CUST-1015"/>
    <s v="Rahul Verma"/>
    <s v="Home Office"/>
    <x v="1"/>
    <x v="15"/>
    <s v="Ranchi"/>
    <x v="2"/>
    <s v="Copiers"/>
    <s v="Basic Copiers 787"/>
    <x v="0"/>
    <n v="2"/>
    <n v="3185.01"/>
    <n v="-0.24"/>
    <n v="4777.5200000000004"/>
    <n v="3152.98"/>
    <n v="1624.54"/>
    <x v="0"/>
    <s v="Completed"/>
  </r>
  <r>
    <x v="664"/>
    <x v="427"/>
    <d v="2024-10-12T00:00:00"/>
    <n v="92"/>
    <s v="CUST-2709"/>
    <s v="Mira Das"/>
    <s v="Home Office"/>
    <x v="2"/>
    <x v="2"/>
    <s v="Hyderabad"/>
    <x v="2"/>
    <s v="Accessories"/>
    <s v="Max Accessories 903"/>
    <x v="3"/>
    <n v="1"/>
    <n v="1908.83"/>
    <n v="0.2"/>
    <n v="1527.06"/>
    <n v="1055.8900000000001"/>
    <n v="471.17"/>
    <x v="0"/>
    <s v="Completed"/>
  </r>
  <r>
    <x v="665"/>
    <x v="428"/>
    <d v="2025-01-13T00:00:00"/>
    <n v="0"/>
    <s v="CUST-1197"/>
    <s v="Rahul Verma"/>
    <s v="Home Office"/>
    <x v="3"/>
    <x v="12"/>
    <s v="Ahmedabad"/>
    <x v="0"/>
    <s v="Art"/>
    <s v="Max Art 660"/>
    <x v="3"/>
    <n v="3"/>
    <n v="2110.52"/>
    <n v="0.1"/>
    <n v="5698.4"/>
    <n v="3640.89"/>
    <n v="2057.5100000000002"/>
    <x v="3"/>
    <s v="Cancelled"/>
  </r>
  <r>
    <x v="666"/>
    <x v="210"/>
    <d v="2024-06-26T00:00:00"/>
    <n v="5"/>
    <s v="CUST-7758"/>
    <s v="Rohan Mehta"/>
    <s v="Small Business"/>
    <x v="0"/>
    <x v="7"/>
    <s v="Ludhiana"/>
    <x v="2"/>
    <s v="Copiers"/>
    <s v="Classic Copiers 908"/>
    <x v="1"/>
    <n v="1"/>
    <n v="279.83"/>
    <n v="0.05"/>
    <n v="265.83999999999997"/>
    <n v="223.49"/>
    <n v="42.35"/>
    <x v="0"/>
    <s v="Completed"/>
  </r>
  <r>
    <x v="667"/>
    <x v="10"/>
    <d v="2025-05-27T00:00:00"/>
    <n v="7"/>
    <s v="CUST-3912"/>
    <s v="Diya Patel"/>
    <s v="Small Business"/>
    <x v="1"/>
    <x v="9"/>
    <s v="Patna"/>
    <x v="2"/>
    <s v="Machines"/>
    <s v="Pro Machines 706"/>
    <x v="3"/>
    <n v="1"/>
    <n v="3959.14"/>
    <n v="0"/>
    <n v="3959.14"/>
    <n v="3239.53"/>
    <n v="719.61"/>
    <x v="2"/>
    <s v="Returned"/>
  </r>
  <r>
    <x v="668"/>
    <x v="429"/>
    <d v="2024-11-23T00:00:00"/>
    <n v="2"/>
    <s v="CUST-4190"/>
    <s v="Mira Das"/>
    <s v="Corporate"/>
    <x v="3"/>
    <x v="12"/>
    <s v="Ahmedabad"/>
    <x v="0"/>
    <s v="Paper"/>
    <s v="Pro Paper 187"/>
    <x v="0"/>
    <n v="5"/>
    <n v="600.46"/>
    <n v="0.2"/>
    <n v="2401.84"/>
    <n v="1873.11"/>
    <n v="528.73"/>
    <x v="0"/>
    <s v="Completed"/>
  </r>
  <r>
    <x v="669"/>
    <x v="81"/>
    <d v="2024-01-04T00:00:00"/>
    <n v="-80"/>
    <s v="CUST-7568"/>
    <s v="Ananya Rao"/>
    <s v="Home Office"/>
    <x v="3"/>
    <x v="3"/>
    <s v="Mumbai"/>
    <x v="1"/>
    <s v="Tables"/>
    <s v="Classic Tables 606"/>
    <x v="0"/>
    <n v="4"/>
    <n v="1700.72"/>
    <n v="0.25"/>
    <n v="5102.16"/>
    <n v="3226.45"/>
    <n v="1875.71"/>
    <x v="0"/>
    <s v="Completed"/>
  </r>
  <r>
    <x v="670"/>
    <x v="430"/>
    <d v="2025-06-02T00:00:00"/>
    <n v="120"/>
    <s v="CUST-5604"/>
    <s v="Sneha Kapoor"/>
    <s v="Corporate"/>
    <x v="0"/>
    <x v="8"/>
    <s v="Noida"/>
    <x v="1"/>
    <s v="Tables"/>
    <s v="Smart Tables 835"/>
    <x v="3"/>
    <n v="8"/>
    <n v="857.86"/>
    <n v="0.1"/>
    <n v="6176.59"/>
    <n v="3560.96"/>
    <n v="2615.63"/>
    <x v="0"/>
    <s v="Completed"/>
  </r>
  <r>
    <x v="671"/>
    <x v="293"/>
    <d v="2024-03-27T00:00:00"/>
    <n v="5"/>
    <s v="CUST-3293"/>
    <s v="Aditi Sen"/>
    <s v="Home Office"/>
    <x v="3"/>
    <x v="14"/>
    <s v="Panaji"/>
    <x v="2"/>
    <s v="Copiers"/>
    <s v="Classic Copiers 583"/>
    <x v="0"/>
    <n v="9"/>
    <n v="3649.51"/>
    <n v="0.05"/>
    <n v="31203.31"/>
    <n v="17738.13"/>
    <n v="13465.18"/>
    <x v="0"/>
    <s v="Completed"/>
  </r>
  <r>
    <x v="672"/>
    <x v="224"/>
    <d v="2024-05-09T00:00:00"/>
    <n v="30"/>
    <s v="CUST-8180"/>
    <s v="Aditi Sen"/>
    <s v="Corporate"/>
    <x v="3"/>
    <x v="4"/>
    <s v="Indore"/>
    <x v="1"/>
    <s v="Chairs"/>
    <s v="Classic Chairs 460"/>
    <x v="3"/>
    <n v="5"/>
    <n v="2528.5300000000002"/>
    <n v="0.05"/>
    <n v="12010.52"/>
    <n v="7864.61"/>
    <n v="4145.91"/>
    <x v="0"/>
    <s v="Returned"/>
  </r>
  <r>
    <x v="673"/>
    <x v="221"/>
    <d v="2025-02-16T00:00:00"/>
    <n v="3"/>
    <s v="CUST-2807"/>
    <s v="Arjun Bose"/>
    <s v="Small Business"/>
    <x v="3"/>
    <x v="0"/>
    <s v="Udaipur"/>
    <x v="1"/>
    <s v="Bookcases"/>
    <s v="Classic Bookcases 488"/>
    <x v="0"/>
    <n v="4"/>
    <n v="4072.9"/>
    <n v="0.15"/>
    <n v="13847.86"/>
    <n v="8471.7800000000007"/>
    <n v="5376.08"/>
    <x v="0"/>
    <s v="Completed"/>
  </r>
  <r>
    <x v="674"/>
    <x v="431"/>
    <d v="2024-05-21T00:00:00"/>
    <n v="3"/>
    <s v="CUST-4081"/>
    <s v="Vikram Iyer"/>
    <s v="Corporate"/>
    <x v="1"/>
    <x v="15"/>
    <s v="Ranchi"/>
    <x v="2"/>
    <s v="Accessories"/>
    <s v="Basic Accessories 944"/>
    <x v="0"/>
    <n v="1"/>
    <n v="1033.71"/>
    <n v="0"/>
    <n v="1033.71"/>
    <n v="630.82000000000005"/>
    <n v="402.89"/>
    <x v="2"/>
    <s v="Returned"/>
  </r>
  <r>
    <x v="675"/>
    <x v="194"/>
    <d v="2025-06-10T00:00:00"/>
    <n v="-26"/>
    <s v="CUST-5061"/>
    <s v="Aarav Sharma"/>
    <s v="Consumer"/>
    <x v="0"/>
    <x v="0"/>
    <s v="Jaipur"/>
    <x v="1"/>
    <s v="Furnishings"/>
    <s v="Eco Furnishings 217"/>
    <x v="1"/>
    <n v="3"/>
    <n v="963.26"/>
    <n v="0"/>
    <n v="2889.78"/>
    <n v="1811.23"/>
    <n v="1078.55"/>
    <x v="0"/>
    <s v="Completed"/>
  </r>
  <r>
    <x v="676"/>
    <x v="432"/>
    <d v="2025-09-18T00:00:00"/>
    <n v="7"/>
    <s v="CUST-9212"/>
    <s v="Rahul Verma"/>
    <s v="Small Business"/>
    <x v="0"/>
    <x v="18"/>
    <s v="New Delhi"/>
    <x v="2"/>
    <s v="Phones"/>
    <s v="Smart Phones 967"/>
    <x v="1"/>
    <n v="7"/>
    <n v="3411.21"/>
    <n v="0.15"/>
    <n v="20296.7"/>
    <n v="14920.87"/>
    <n v="5375.83"/>
    <x v="0"/>
    <s v="Completed"/>
  </r>
  <r>
    <x v="677"/>
    <x v="41"/>
    <d v="2024-06-27T00:00:00"/>
    <n v="5"/>
    <s v="CUST-4655"/>
    <s v="Isha Nair"/>
    <s v="Home Office"/>
    <x v="2"/>
    <x v="11"/>
    <s v="Bengaluru"/>
    <x v="1"/>
    <s v="Chairs"/>
    <s v="Smart Chairs 610"/>
    <x v="1"/>
    <n v="7"/>
    <n v="2623.48"/>
    <n v="0"/>
    <n v="18364.36"/>
    <n v="15445.81"/>
    <n v="2918.55"/>
    <x v="0"/>
    <s v="Completed"/>
  </r>
  <r>
    <x v="678"/>
    <x v="433"/>
    <d v="2024-12-01T00:00:00"/>
    <n v="7"/>
    <s v="CUST-1674"/>
    <s v="Kabir Singh"/>
    <s v="Corporate"/>
    <x v="2"/>
    <x v="11"/>
    <s v="Bengaluru"/>
    <x v="1"/>
    <s v="Tables"/>
    <s v="Prime Tables 123"/>
    <x v="0"/>
    <n v="9"/>
    <n v="2763.61"/>
    <n v="0.15"/>
    <n v="21141.62"/>
    <n v="11676.33"/>
    <n v="9465.2900000000009"/>
    <x v="0"/>
    <s v="Completed"/>
  </r>
  <r>
    <x v="679"/>
    <x v="272"/>
    <d v="2025-08-23T00:00:00"/>
    <n v="7"/>
    <s v="CUST-2897"/>
    <s v="Rohan Mehta"/>
    <s v="Corporate"/>
    <x v="0"/>
    <x v="7"/>
    <s v="Ludhiana"/>
    <x v="2"/>
    <s v="Copiers"/>
    <s v="Smart Copiers 579"/>
    <x v="1"/>
    <n v="4"/>
    <n v="1410.57"/>
    <s v="70%"/>
    <n v="5360.17"/>
    <n v="3881.51"/>
    <n v="1478.66"/>
    <x v="1"/>
    <s v="Cancelled"/>
  </r>
  <r>
    <x v="680"/>
    <x v="32"/>
    <d v="2024-05-06T00:00:00"/>
    <n v="-23"/>
    <s v="CUST-1136"/>
    <s v="Kabir Singh"/>
    <s v="Corporate"/>
    <x v="2"/>
    <x v="17"/>
    <s v="Chennai"/>
    <x v="2"/>
    <s v="Accessories"/>
    <s v="Eco Accessories 658"/>
    <x v="2"/>
    <n v="4"/>
    <n v="3700.24"/>
    <n v="0"/>
    <n v="14800.96"/>
    <n v="12048.39"/>
    <n v="2752.57"/>
    <x v="0"/>
    <s v="Completed"/>
  </r>
  <r>
    <x v="681"/>
    <x v="222"/>
    <d v="2024-10-07T00:00:00"/>
    <n v="95"/>
    <s v="CUST-1376"/>
    <s v="Vikram Iyer"/>
    <s v="Corporate"/>
    <x v="0"/>
    <x v="18"/>
    <s v="New Delhi"/>
    <x v="1"/>
    <s v="Tables"/>
    <s v="Smart Tables 777"/>
    <x v="0"/>
    <n v="5"/>
    <n v="1200.27"/>
    <n v="0"/>
    <n v="6001.35"/>
    <n v="4182.99"/>
    <n v="1818.36"/>
    <x v="0"/>
    <s v="Cancelled"/>
  </r>
  <r>
    <x v="682"/>
    <x v="94"/>
    <d v="2025-05-02T00:00:00"/>
    <n v="0"/>
    <s v="CUST-1553"/>
    <s v="Ananya Rao"/>
    <s v="Corporate"/>
    <x v="0"/>
    <x v="16"/>
    <s v="Gurugram"/>
    <x v="0"/>
    <s v="Storage"/>
    <s v="Eco Storage 861"/>
    <x v="1"/>
    <n v="3"/>
    <n v="2590.7800000000002"/>
    <m/>
    <n v="7383.72"/>
    <n v="4113.66"/>
    <n v="3270.06"/>
    <x v="0"/>
    <s v="Completed"/>
  </r>
  <r>
    <x v="683"/>
    <x v="167"/>
    <d v="2025-07-24T00:00:00"/>
    <n v="4"/>
    <s v="CUST-5704"/>
    <s v="Arjun Bose"/>
    <s v="Small Business"/>
    <x v="2"/>
    <x v="2"/>
    <s v="Hyderabad"/>
    <x v="1"/>
    <s v="Furnishings"/>
    <s v="Eco Furnishings 875"/>
    <x v="0"/>
    <n v="6"/>
    <n v="1646.45"/>
    <n v="0.2"/>
    <n v="7902.96"/>
    <n v="5512.03"/>
    <n v="2390.9299999999998"/>
    <x v="1"/>
    <s v="Cancelled"/>
  </r>
  <r>
    <x v="684"/>
    <x v="434"/>
    <d v="2025-07-21T00:00:00"/>
    <n v="0"/>
    <s v="CUST-6738"/>
    <s v="Isha Nair"/>
    <s v="Home Office"/>
    <x v="2"/>
    <x v="17"/>
    <s v="Chennai"/>
    <x v="1"/>
    <s v="Bookcases"/>
    <s v="Prime Bookcases 784"/>
    <x v="2"/>
    <n v="7"/>
    <n v="4396.6499999999996"/>
    <n v="0.2"/>
    <n v="24621.24"/>
    <n v="17155.48"/>
    <n v="7465.76"/>
    <x v="1"/>
    <s v="Cancelled"/>
  </r>
  <r>
    <x v="685"/>
    <x v="364"/>
    <d v="2025-03-10T00:00:00"/>
    <n v="59"/>
    <s v="CUST-2586"/>
    <s v="Neha Gupta"/>
    <s v="Corporate"/>
    <x v="3"/>
    <x v="14"/>
    <s v="Panaji"/>
    <x v="0"/>
    <s v="Art"/>
    <s v="Classic Art 380"/>
    <x v="3"/>
    <n v="9"/>
    <n v="818.15"/>
    <n v="0.55000000000000004"/>
    <n v="6627.01"/>
    <n v="5606.79"/>
    <n v="1020.22"/>
    <x v="3"/>
    <s v="Cancelled"/>
  </r>
  <r>
    <x v="686"/>
    <x v="435"/>
    <d v="2024-04-02T00:00:00"/>
    <n v="8"/>
    <s v="CUST-3127"/>
    <s v="Sneha Kapoor"/>
    <s v="Home Office"/>
    <x v="2"/>
    <x v="17"/>
    <s v="Chennai"/>
    <x v="2"/>
    <s v="Copiers"/>
    <s v="Pro Copiers 502"/>
    <x v="3"/>
    <n v="2"/>
    <n v="2349.13"/>
    <n v="0"/>
    <n v="4698.26"/>
    <n v="2654.92"/>
    <n v="2043.34"/>
    <x v="0"/>
    <s v="Completed"/>
  </r>
  <r>
    <x v="687"/>
    <x v="134"/>
    <d v="2025-10-13T00:00:00"/>
    <n v="64"/>
    <s v="CUST-9347"/>
    <s v="Mira Das"/>
    <s v="Home Office"/>
    <x v="0"/>
    <x v="7"/>
    <s v="Ludhiana"/>
    <x v="1"/>
    <s v="Tables"/>
    <s v="Prime Tables 604"/>
    <x v="2"/>
    <n v="4"/>
    <n v="172.05"/>
    <n v="0"/>
    <n v="688.2"/>
    <n v="497.68"/>
    <n v="190.52"/>
    <x v="3"/>
    <s v="Cancelled"/>
  </r>
  <r>
    <x v="688"/>
    <x v="178"/>
    <d v="2025-02-27T00:00:00"/>
    <n v="1"/>
    <s v="CUST-8575"/>
    <s v="Neha Gupta"/>
    <s v="Home Office"/>
    <x v="0"/>
    <x v="16"/>
    <s v="Gurugram"/>
    <x v="0"/>
    <s v="Art"/>
    <s v="Basic Art 798"/>
    <x v="0"/>
    <n v="6"/>
    <n v="3037.66"/>
    <n v="0.15"/>
    <n v="15492.07"/>
    <n v="12581.23"/>
    <n v="2910.84"/>
    <x v="0"/>
    <s v="Completed"/>
  </r>
  <r>
    <x v="689"/>
    <x v="403"/>
    <d v="2024-06-10T00:00:00"/>
    <n v="31"/>
    <s v="CUST-4382"/>
    <s v="Rohan Mehta"/>
    <s v="Small Business"/>
    <x v="0"/>
    <x v="7"/>
    <s v="Ludhiana"/>
    <x v="1"/>
    <s v="Tables"/>
    <s v="Elite Tables 717"/>
    <x v="3"/>
    <n v="9"/>
    <n v="489.58"/>
    <n v="0.15"/>
    <n v="3745.29"/>
    <n v="2302.65"/>
    <n v="1442.64"/>
    <x v="3"/>
    <s v="Cancelled"/>
  </r>
  <r>
    <x v="690"/>
    <x v="352"/>
    <d v="2024-09-15T00:00:00"/>
    <n v="4"/>
    <s v="CUST-6815"/>
    <s v="Sneha Kapoor"/>
    <s v="Corporate"/>
    <x v="2"/>
    <x v="17"/>
    <s v="Chennai"/>
    <x v="0"/>
    <s v="Art"/>
    <s v="Max Art 725"/>
    <x v="3"/>
    <n v="4"/>
    <n v="865.63"/>
    <n v="0"/>
    <n v="3462.52"/>
    <n v="2797.29"/>
    <n v="665.23"/>
    <x v="3"/>
    <s v="Returned"/>
  </r>
  <r>
    <x v="691"/>
    <x v="353"/>
    <d v="2024-12-16T00:00:00"/>
    <n v="1"/>
    <s v="CUST-7309"/>
    <s v="Rohan Mehta"/>
    <s v="Consumer"/>
    <x v="1"/>
    <x v="1"/>
    <s v="Bhubaneswar"/>
    <x v="2"/>
    <s v="Copiers"/>
    <s v="Smart Copiers 456"/>
    <x v="0"/>
    <n v="6"/>
    <n v="1538.1"/>
    <n v="0.05"/>
    <n v="8767.17"/>
    <n v="5098.2"/>
    <n v="3668.97"/>
    <x v="0"/>
    <s v="Completed"/>
  </r>
  <r>
    <x v="692"/>
    <x v="367"/>
    <d v="2025-10-10T00:00:00"/>
    <n v="153"/>
    <s v="CUST-9531"/>
    <s v="Isha Nair"/>
    <s v="Corporate"/>
    <x v="2"/>
    <x v="11"/>
    <s v="Bengaluru"/>
    <x v="1"/>
    <s v="Furnishings"/>
    <s v="Prime Furnishings 883"/>
    <x v="0"/>
    <n v="4"/>
    <n v="2365.6799999999998"/>
    <n v="0.1"/>
    <n v="8516.4500000000007"/>
    <n v="5903.81"/>
    <n v="2612.64"/>
    <x v="0"/>
    <s v="Completed"/>
  </r>
  <r>
    <x v="693"/>
    <x v="436"/>
    <d v="2025-11-04T00:00:00"/>
    <n v="245"/>
    <s v="CUST-6032"/>
    <s v="Arjun Bose"/>
    <s v="Consumer"/>
    <x v="2"/>
    <x v="17"/>
    <s v="Chennai"/>
    <x v="1"/>
    <s v="Bookcases"/>
    <s v="Smart Bookcases 828"/>
    <x v="0"/>
    <n v="3"/>
    <n v="4149.7700000000004"/>
    <n v="0.05"/>
    <n v="11826.84"/>
    <n v="8035.96"/>
    <n v="3790.88"/>
    <x v="0"/>
    <s v="Completed"/>
  </r>
  <r>
    <x v="694"/>
    <x v="437"/>
    <d v="2025-09-08T00:00:00"/>
    <n v="243"/>
    <s v="CUST-8025"/>
    <s v="Isha Nair"/>
    <s v="Consumer"/>
    <x v="2"/>
    <x v="5"/>
    <s v="Vijayawada"/>
    <x v="0"/>
    <s v="Storage"/>
    <s v="Classic Storage 291"/>
    <x v="2"/>
    <n v="5"/>
    <n v="2736.24"/>
    <n v="0.15"/>
    <n v="11629.02"/>
    <n v="9627.2099999999991"/>
    <n v="2001.81"/>
    <x v="0"/>
    <s v="Completed"/>
  </r>
  <r>
    <x v="695"/>
    <x v="17"/>
    <d v="2024-01-07T00:00:00"/>
    <n v="0"/>
    <s v="CUST-6257"/>
    <s v="Aarav Sharma"/>
    <s v="Consumer"/>
    <x v="3"/>
    <x v="4"/>
    <s v="Indore"/>
    <x v="2"/>
    <s v="Machines"/>
    <s v="Prime Machines 102"/>
    <x v="3"/>
    <n v="4"/>
    <n v="257.39"/>
    <n v="0"/>
    <n v="1029.56"/>
    <n v="626.33000000000004"/>
    <n v="403.23"/>
    <x v="0"/>
    <s v="Completed"/>
  </r>
  <r>
    <x v="696"/>
    <x v="386"/>
    <d v="2025-09-25T00:00:00"/>
    <n v="3"/>
    <s v="CUST-7812"/>
    <s v="Isha Nair"/>
    <s v="Small Business"/>
    <x v="2"/>
    <x v="13"/>
    <s v="Kochi"/>
    <x v="2"/>
    <s v="Phones"/>
    <s v="Classic Phones 842"/>
    <x v="4"/>
    <n v="4"/>
    <n v="1178.8399999999999"/>
    <n v="0.25"/>
    <n v="3536.52"/>
    <n v="2102.41"/>
    <n v="1363.28"/>
    <x v="0"/>
    <s v="Completed"/>
  </r>
  <r>
    <x v="697"/>
    <x v="337"/>
    <d v="2025-07-03T00:00:00"/>
    <n v="124"/>
    <s v="CUST-6205"/>
    <s v="Arjun Bose"/>
    <s v="Corporate"/>
    <x v="2"/>
    <x v="5"/>
    <s v="Vijayawada"/>
    <x v="0"/>
    <s v="Labels"/>
    <s v="Max Labels 970"/>
    <x v="2"/>
    <n v="7"/>
    <n v="567.15"/>
    <m/>
    <n v="2977.54"/>
    <n v="1849.3"/>
    <n v="1128.24"/>
    <x v="1"/>
    <s v="Returned"/>
  </r>
  <r>
    <x v="698"/>
    <x v="262"/>
    <d v="2024-09-14T00:00:00"/>
    <n v="0"/>
    <s v="CUST-5357"/>
    <s v="Mira Das"/>
    <s v="Corporate"/>
    <x v="0"/>
    <x v="0"/>
    <s v="Jaipur"/>
    <x v="2"/>
    <s v="Machines"/>
    <s v="Classic Machines 648"/>
    <x v="3"/>
    <n v="8"/>
    <n v="4081.66"/>
    <n v="0.15"/>
    <n v="28208.1"/>
    <n v="23751.91"/>
    <n v="4003.38"/>
    <x v="0"/>
    <s v="Returned"/>
  </r>
  <r>
    <x v="699"/>
    <x v="438"/>
    <d v="2024-11-06T00:00:00"/>
    <n v="0"/>
    <s v="CUST-9802"/>
    <s v="Arjun Bose"/>
    <s v="Small Business"/>
    <x v="2"/>
    <x v="11"/>
    <s v="Bengaluru"/>
    <x v="1"/>
    <s v="Bookcases"/>
    <s v="Max Bookcases 565"/>
    <x v="3"/>
    <n v="9"/>
    <n v="1400.11"/>
    <n v="0.25"/>
    <n v="9450.74"/>
    <n v="7798.56"/>
    <n v="1652.18"/>
    <x v="0"/>
    <s v="Completed"/>
  </r>
  <r>
    <x v="700"/>
    <x v="417"/>
    <d v="2024-09-21T00:00:00"/>
    <n v="3"/>
    <s v="CUST-5646"/>
    <s v="Neha Gupta"/>
    <s v="Corporate"/>
    <x v="1"/>
    <x v="6"/>
    <s v="Kolkata"/>
    <x v="2"/>
    <s v="Machines"/>
    <s v="Basic Machines 220"/>
    <x v="3"/>
    <n v="3"/>
    <n v="3055.9"/>
    <n v="0.15"/>
    <n v="7792.55"/>
    <n v="4691.7299999999996"/>
    <n v="3100.82"/>
    <x v="0"/>
    <s v="Completed"/>
  </r>
  <r>
    <x v="701"/>
    <x v="439"/>
    <d v="2024-04-05T00:00:00"/>
    <n v="-25"/>
    <s v="CUST-7171"/>
    <s v="Rohan Mehta"/>
    <s v="Small Business"/>
    <x v="3"/>
    <x v="12"/>
    <s v="Ahmedabad"/>
    <x v="0"/>
    <s v="Art"/>
    <s v="Pro Art 151"/>
    <x v="1"/>
    <n v="7"/>
    <n v="1224.94"/>
    <n v="0"/>
    <n v="8574.58"/>
    <n v="6685.81"/>
    <n v="1888.77"/>
    <x v="0"/>
    <s v="Returned"/>
  </r>
  <r>
    <x v="702"/>
    <x v="430"/>
    <d v="2025-02-06T00:00:00"/>
    <n v="4"/>
    <s v="CUST-5231"/>
    <s v="Karan Malhotra"/>
    <s v="Small Business"/>
    <x v="3"/>
    <x v="0"/>
    <s v="Udaipur"/>
    <x v="1"/>
    <s v="Tables"/>
    <s v="Pro Tables 980"/>
    <x v="0"/>
    <n v="3"/>
    <n v="997.34"/>
    <n v="0.1"/>
    <n v="2692.82"/>
    <n v="1820.08"/>
    <n v="872.74"/>
    <x v="0"/>
    <s v="Completed"/>
  </r>
  <r>
    <x v="703"/>
    <x v="158"/>
    <d v="2024-10-20T00:00:00"/>
    <n v="1"/>
    <s v="CUST-8734"/>
    <s v="Aditi Sen"/>
    <s v="Corporate"/>
    <x v="0"/>
    <x v="0"/>
    <s v="Jaipur"/>
    <x v="1"/>
    <s v="Tables"/>
    <s v="Classic Tables 997"/>
    <x v="2"/>
    <n v="1"/>
    <n v="1150.03"/>
    <n v="0.1"/>
    <n v="1035.03"/>
    <n v="854.35"/>
    <n v="180.68"/>
    <x v="0"/>
    <s v="Completed"/>
  </r>
  <r>
    <x v="704"/>
    <x v="440"/>
    <d v="2024-03-20T00:00:00"/>
    <n v="7"/>
    <s v="CUST-4916"/>
    <s v="Priya Menon"/>
    <s v="Home Office"/>
    <x v="2"/>
    <x v="17"/>
    <s v="Chennai"/>
    <x v="1"/>
    <s v="Bookcases"/>
    <s v="Max Bookcases 738"/>
    <x v="4"/>
    <n v="1"/>
    <n v="2825.63"/>
    <n v="0.15"/>
    <n v="2401.79"/>
    <n v="1820.34"/>
    <n v="581.45000000000005"/>
    <x v="0"/>
    <s v="Completed"/>
  </r>
  <r>
    <x v="705"/>
    <x v="441"/>
    <d v="2024-09-14T00:00:00"/>
    <n v="36"/>
    <s v="CUST-3289"/>
    <s v="Rohan Mehta"/>
    <s v="Consumer"/>
    <x v="0"/>
    <x v="0"/>
    <s v="Jaipur"/>
    <x v="0"/>
    <s v="Binders"/>
    <s v="Max Binders 411"/>
    <x v="3"/>
    <n v="5"/>
    <n v="3371.75"/>
    <n v="0.05"/>
    <n v="16015.81"/>
    <n v="11352.38"/>
    <n v="4663.43"/>
    <x v="0"/>
    <s v="Completed"/>
  </r>
  <r>
    <x v="706"/>
    <x v="96"/>
    <d v="2024-06-28T00:00:00"/>
    <n v="4"/>
    <s v="CUST-4928"/>
    <s v="Isha Nair"/>
    <s v="Small Business"/>
    <x v="1"/>
    <x v="1"/>
    <s v="Bhubaneswar"/>
    <x v="0"/>
    <s v="Paper"/>
    <s v="Max Paper 343"/>
    <x v="1"/>
    <n v="1"/>
    <n v="2112.75"/>
    <n v="0.1"/>
    <n v="1901.48"/>
    <n v="1354.28"/>
    <n v="547.20000000000005"/>
    <x v="0"/>
    <s v="Completed"/>
  </r>
  <r>
    <x v="707"/>
    <x v="152"/>
    <d v="2025-06-26T00:00:00"/>
    <n v="2"/>
    <s v="CUST-4902"/>
    <s v="Vikram Iyer"/>
    <s v="Consumer"/>
    <x v="0"/>
    <x v="0"/>
    <s v="Jaipur"/>
    <x v="2"/>
    <s v="Accessories"/>
    <s v="Pro Accessories 485"/>
    <x v="1"/>
    <n v="5"/>
    <n v="3722.66"/>
    <n v="0.55000000000000004"/>
    <n v="16751.97"/>
    <n v="11678.32"/>
    <n v="5073.6499999999996"/>
    <x v="0"/>
    <s v="Completed"/>
  </r>
  <r>
    <x v="708"/>
    <x v="442"/>
    <d v="2025-03-26T00:00:00"/>
    <n v="6"/>
    <s v="CUST-6504"/>
    <s v="Sneha Kapoor"/>
    <s v="Consumer"/>
    <x v="1"/>
    <x v="10"/>
    <s v="Guwahati"/>
    <x v="1"/>
    <s v="Bookcases"/>
    <s v="Elite Bookcases 113"/>
    <x v="2"/>
    <n v="4"/>
    <n v="4357.66"/>
    <n v="0.05"/>
    <n v="16559.11"/>
    <n v="13233.79"/>
    <n v="3325.32"/>
    <x v="0"/>
    <s v="Completed"/>
  </r>
  <r>
    <x v="709"/>
    <x v="22"/>
    <d v="2025-01-23T00:00:00"/>
    <n v="4"/>
    <s v="CUST-8036"/>
    <s v="Kabir Singh"/>
    <s v="Home Office"/>
    <x v="0"/>
    <x v="7"/>
    <s v="Ludhiana"/>
    <x v="2"/>
    <s v="Phones"/>
    <s v="Eco Phones 787"/>
    <x v="1"/>
    <n v="7"/>
    <n v="1363.04"/>
    <n v="0.15"/>
    <n v="8110.09"/>
    <n v="6417.32"/>
    <n v="1692.77"/>
    <x v="0"/>
    <s v="Cancelled"/>
  </r>
  <r>
    <x v="710"/>
    <x v="427"/>
    <d v="2024-07-19T00:00:00"/>
    <n v="7"/>
    <s v="CUST-7199"/>
    <s v="Vikram Iyer"/>
    <s v="Corporate"/>
    <x v="0"/>
    <x v="7"/>
    <s v="Ludhiana"/>
    <x v="0"/>
    <s v="Art"/>
    <s v="Smart Art 279"/>
    <x v="0"/>
    <n v="5"/>
    <n v="1559.16"/>
    <n v="0.05"/>
    <n v="7406.01"/>
    <n v="5941.74"/>
    <n v="1464.27"/>
    <x v="0"/>
    <s v="Completed"/>
  </r>
  <r>
    <x v="711"/>
    <x v="430"/>
    <d v="2025-02-02T00:00:00"/>
    <n v="0"/>
    <s v="CUST-6176"/>
    <s v="Kabir Singh"/>
    <s v="Corporate"/>
    <x v="1"/>
    <x v="6"/>
    <s v="Kolkata"/>
    <x v="2"/>
    <s v="Machines"/>
    <s v="Basic Machines 172"/>
    <x v="2"/>
    <n v="1"/>
    <n v="4326.75"/>
    <n v="0.05"/>
    <n v="4110.41"/>
    <n v="2394.14"/>
    <n v="1716.27"/>
    <x v="2"/>
    <s v="Returned"/>
  </r>
  <r>
    <x v="712"/>
    <x v="308"/>
    <d v="2024-02-18T00:00:00"/>
    <n v="-227"/>
    <s v="CUST-5127"/>
    <s v="Isha Nair"/>
    <s v="Home Office"/>
    <x v="3"/>
    <x v="4"/>
    <s v="Indore"/>
    <x v="1"/>
    <s v="Chairs"/>
    <s v="Smart Chairs 259"/>
    <x v="2"/>
    <n v="7"/>
    <n v="1382.86"/>
    <n v="0"/>
    <n v="9680.02"/>
    <n v="6876.66"/>
    <n v="2803.36"/>
    <x v="0"/>
    <s v="Completed"/>
  </r>
  <r>
    <x v="713"/>
    <x v="291"/>
    <d v="2025-06-10T00:00:00"/>
    <n v="4"/>
    <s v="CUST-2548"/>
    <s v="Mira Das"/>
    <s v="Consumer"/>
    <x v="3"/>
    <x v="0"/>
    <s v="Udaipur"/>
    <x v="2"/>
    <s v="Machines"/>
    <s v="Pro Machines 987"/>
    <x v="0"/>
    <n v="1"/>
    <n v="289.97000000000003"/>
    <n v="0.25"/>
    <n v="217.48"/>
    <n v="132.13"/>
    <n v="85.35"/>
    <x v="0"/>
    <s v="Completed"/>
  </r>
  <r>
    <x v="714"/>
    <x v="443"/>
    <d v="2025-03-23T00:00:00"/>
    <n v="1"/>
    <s v="CUST-9902"/>
    <s v="Karan Malhotra"/>
    <s v="Home Office"/>
    <x v="0"/>
    <x v="18"/>
    <s v="New Delhi"/>
    <x v="2"/>
    <s v="Copiers"/>
    <s v="Pro Copiers 206"/>
    <x v="3"/>
    <n v="9"/>
    <n v="2075.02"/>
    <n v="0"/>
    <n v="18675.18"/>
    <n v="13974.7"/>
    <n v="4700.4799999999996"/>
    <x v="0"/>
    <s v="Completed"/>
  </r>
  <r>
    <x v="715"/>
    <x v="66"/>
    <d v="2025-08-27T00:00:00"/>
    <n v="5"/>
    <s v="CUST-7446"/>
    <s v="Priya Menon"/>
    <s v="Consumer"/>
    <x v="0"/>
    <x v="16"/>
    <s v="Gurugram"/>
    <x v="1"/>
    <s v="Chairs"/>
    <s v="Max Chairs 372"/>
    <x v="0"/>
    <n v="7"/>
    <n v="2843.09"/>
    <n v="0"/>
    <n v="19901.63"/>
    <n v="15492.03"/>
    <n v="4409.6000000000004"/>
    <x v="1"/>
    <s v="Cancelled"/>
  </r>
  <r>
    <x v="716"/>
    <x v="424"/>
    <d v="2025-08-31T00:00:00"/>
    <n v="5"/>
    <s v="CUST-7540"/>
    <s v="Diya Patel"/>
    <s v="Small Business"/>
    <x v="0"/>
    <x v="16"/>
    <s v="Gurugram"/>
    <x v="2"/>
    <s v="Phones"/>
    <s v="Basic Phones 496"/>
    <x v="2"/>
    <n v="1"/>
    <n v="3388.02"/>
    <n v="0.15"/>
    <n v="2879.82"/>
    <n v="1824.88"/>
    <n v="1054.94"/>
    <x v="0"/>
    <s v="Completed"/>
  </r>
  <r>
    <x v="717"/>
    <x v="13"/>
    <d v="2025-10-15T00:00:00"/>
    <n v="-56"/>
    <s v="CUST-8351"/>
    <s v="Kabir Singh"/>
    <s v="Small Business"/>
    <x v="0"/>
    <x v="16"/>
    <s v="Gurugram"/>
    <x v="2"/>
    <s v="Machines"/>
    <s v="Prime Machines 612"/>
    <x v="3"/>
    <n v="9"/>
    <n v="2598.92"/>
    <n v="0.2"/>
    <n v="18712.22"/>
    <n v="11852.22"/>
    <n v="6860"/>
    <x v="2"/>
    <s v="Cancelled"/>
  </r>
  <r>
    <x v="718"/>
    <x v="338"/>
    <d v="2024-09-09T00:00:00"/>
    <n v="92"/>
    <s v="CUST-3918"/>
    <s v="Mira Das"/>
    <s v="Consumer"/>
    <x v="3"/>
    <x v="3"/>
    <s v="Mumbai"/>
    <x v="0"/>
    <s v="Art"/>
    <s v="Smart Art 866"/>
    <x v="1"/>
    <n v="3"/>
    <n v="1972.27"/>
    <n v="0.2"/>
    <n v="4733.45"/>
    <n v="3672.32"/>
    <n v="1061.1300000000001"/>
    <x v="0"/>
    <s v="Completed"/>
  </r>
  <r>
    <x v="719"/>
    <x v="259"/>
    <d v="2025-09-09T00:00:00"/>
    <n v="31"/>
    <s v="CUST-3190"/>
    <s v="Kabir Singh"/>
    <s v="Corporate"/>
    <x v="3"/>
    <x v="12"/>
    <s v="Ahmedabad"/>
    <x v="0"/>
    <s v="Art"/>
    <s v="Pro Art 447"/>
    <x v="1"/>
    <n v="2"/>
    <n v="2372.41"/>
    <n v="0.2"/>
    <n v="3795.86"/>
    <n v="2264.92"/>
    <n v="1530.94"/>
    <x v="0"/>
    <s v="Completed"/>
  </r>
  <r>
    <x v="720"/>
    <x v="360"/>
    <d v="2024-07-16T00:00:00"/>
    <n v="0"/>
    <s v="CUST-1991"/>
    <s v="Aditi Sen"/>
    <s v="Home Office"/>
    <x v="3"/>
    <x v="4"/>
    <s v="Indore"/>
    <x v="2"/>
    <s v="Copiers"/>
    <s v="Smart Copiers 196"/>
    <x v="1"/>
    <n v="4"/>
    <n v="4479.92"/>
    <n v="0.15"/>
    <n v="15231.73"/>
    <n v="12451.46"/>
    <n v="2780.27"/>
    <x v="0"/>
    <s v="Completed"/>
  </r>
  <r>
    <x v="721"/>
    <x v="230"/>
    <d v="2025-06-23T00:00:00"/>
    <n v="4"/>
    <s v="CUST-7606"/>
    <s v="Sneha Kapoor"/>
    <s v="Consumer"/>
    <x v="2"/>
    <x v="11"/>
    <s v="Bengaluru"/>
    <x v="2"/>
    <s v="Copiers"/>
    <s v="Pro Copiers 532"/>
    <x v="2"/>
    <n v="5"/>
    <n v="2729.95"/>
    <n v="0"/>
    <n v="13649.75"/>
    <n v="10288.030000000001"/>
    <n v="3361.72"/>
    <x v="0"/>
    <s v="Completed"/>
  </r>
  <r>
    <x v="722"/>
    <x v="365"/>
    <d v="2024-10-10T00:00:00"/>
    <n v="92"/>
    <s v="CUST-8844"/>
    <s v="Vikram Iyer"/>
    <s v="Consumer"/>
    <x v="1"/>
    <x v="6"/>
    <s v="Kolkata"/>
    <x v="1"/>
    <s v="Chairs"/>
    <s v="Eco Chairs 442"/>
    <x v="0"/>
    <n v="9"/>
    <n v="481.51"/>
    <m/>
    <n v="4333.59"/>
    <n v="2533.59"/>
    <n v="1800"/>
    <x v="1"/>
    <s v="Cancelled"/>
  </r>
  <r>
    <x v="723"/>
    <x v="344"/>
    <d v="2025-10-13T00:00:00"/>
    <n v="7"/>
    <s v="CUST-4335"/>
    <s v="Kabir Singh"/>
    <s v="Home Office"/>
    <x v="1"/>
    <x v="15"/>
    <s v="Ranchi"/>
    <x v="2"/>
    <s v="Accessories"/>
    <s v="Eco Accessories 364"/>
    <x v="3"/>
    <n v="6"/>
    <n v="2391.9299999999998"/>
    <n v="0.05"/>
    <n v="13634"/>
    <n v="9589.81"/>
    <n v="4044.19"/>
    <x v="3"/>
    <s v="Returned"/>
  </r>
  <r>
    <x v="724"/>
    <x v="412"/>
    <d v="2024-02-16T00:00:00"/>
    <n v="6"/>
    <s v="CUST-5891"/>
    <s v="Karan Malhotra"/>
    <s v="Consumer"/>
    <x v="3"/>
    <x v="14"/>
    <s v="Panaji"/>
    <x v="1"/>
    <s v="Furnishings"/>
    <s v="Elite Furnishings 921"/>
    <x v="0"/>
    <n v="3"/>
    <n v="253.43"/>
    <n v="0"/>
    <n v="760.29"/>
    <n v="497.77"/>
    <n v="262.52"/>
    <x v="0"/>
    <s v="Completed"/>
  </r>
  <r>
    <x v="725"/>
    <x v="444"/>
    <d v="2025-12-10T00:00:00"/>
    <n v="66"/>
    <s v="CUST-6371"/>
    <s v="Priya Menon"/>
    <s v="Corporate"/>
    <x v="2"/>
    <x v="11"/>
    <s v="Bengaluru"/>
    <x v="1"/>
    <s v="Tables"/>
    <s v="Max Tables 309"/>
    <x v="0"/>
    <n v="7"/>
    <n v="2134.73"/>
    <n v="0"/>
    <n v="14943.11"/>
    <n v="8521.5"/>
    <n v="6421.61"/>
    <x v="0"/>
    <s v="Completed"/>
  </r>
  <r>
    <x v="726"/>
    <x v="445"/>
    <d v="2024-01-23T00:00:00"/>
    <n v="6"/>
    <s v="CUST-6655"/>
    <s v="Kabir Singh"/>
    <s v="Home Office"/>
    <x v="3"/>
    <x v="12"/>
    <s v="Ahmedabad"/>
    <x v="2"/>
    <s v="Phones"/>
    <s v="Pro Phones 857"/>
    <x v="3"/>
    <n v="5"/>
    <n v="2018"/>
    <n v="0.2"/>
    <n v="8072"/>
    <n v="5379.22"/>
    <n v="2692.78"/>
    <x v="2"/>
    <s v="Returned"/>
  </r>
  <r>
    <x v="727"/>
    <x v="446"/>
    <d v="2024-10-13T00:00:00"/>
    <n v="0"/>
    <s v="CUST-6492"/>
    <s v="Aarav Sharma"/>
    <s v="Small Business"/>
    <x v="1"/>
    <x v="10"/>
    <s v="Guwahati"/>
    <x v="2"/>
    <s v="Accessories"/>
    <s v="Max Accessories 567"/>
    <x v="0"/>
    <n v="8"/>
    <n v="3730.66"/>
    <n v="0.05"/>
    <n v="28353.02"/>
    <n v="19257.849999999999"/>
    <n v="9095.17"/>
    <x v="0"/>
    <s v="Completed"/>
  </r>
  <r>
    <x v="728"/>
    <x v="330"/>
    <d v="2024-07-01T00:00:00"/>
    <n v="91"/>
    <s v="CUST-1154"/>
    <s v="Sneha Kapoor"/>
    <s v="Small Business"/>
    <x v="2"/>
    <x v="11"/>
    <s v="Bengaluru"/>
    <x v="2"/>
    <s v="Machines"/>
    <s v="Max Machines 200"/>
    <x v="2"/>
    <n v="1"/>
    <n v="2363.02"/>
    <n v="0.15"/>
    <n v="2008.57"/>
    <n v="1194.83"/>
    <n v="813.74"/>
    <x v="0"/>
    <s v="Completed"/>
  </r>
  <r>
    <x v="729"/>
    <x v="447"/>
    <d v="2025-05-25T00:00:00"/>
    <n v="8"/>
    <s v="CUST-8713"/>
    <s v="Ananya Rao"/>
    <s v="Corporate"/>
    <x v="2"/>
    <x v="17"/>
    <s v="Chennai"/>
    <x v="2"/>
    <s v="Machines"/>
    <s v="Pro Machines 563"/>
    <x v="1"/>
    <n v="6"/>
    <n v="1810.63"/>
    <n v="0.15"/>
    <n v="9234.2099999999991"/>
    <n v="5516.52"/>
    <n v="3717.69"/>
    <x v="0"/>
    <s v="Completed"/>
  </r>
  <r>
    <x v="730"/>
    <x v="230"/>
    <d v="2025-06-24T00:00:00"/>
    <n v="5"/>
    <s v="CUST-6765"/>
    <s v="Arjun Bose"/>
    <s v="Consumer"/>
    <x v="1"/>
    <x v="6"/>
    <s v="Kolkata"/>
    <x v="0"/>
    <s v="Art"/>
    <s v="Elite Art 696"/>
    <x v="0"/>
    <n v="4"/>
    <n v="782.01"/>
    <n v="0.15"/>
    <n v="2658.83"/>
    <n v="2226.9699999999998"/>
    <n v="431.86"/>
    <x v="1"/>
    <s v="Returned"/>
  </r>
  <r>
    <x v="731"/>
    <x v="175"/>
    <d v="2024-03-19T00:00:00"/>
    <n v="2"/>
    <s v="CUST-6849"/>
    <s v="Ananya Rao"/>
    <s v="Corporate"/>
    <x v="1"/>
    <x v="1"/>
    <s v="Bhubaneswar"/>
    <x v="0"/>
    <s v="Binders"/>
    <s v="Eco Binders 178"/>
    <x v="2"/>
    <n v="4"/>
    <n v="4376.68"/>
    <n v="0.1"/>
    <n v="15756.05"/>
    <n v="10245.44"/>
    <n v="5510.61"/>
    <x v="0"/>
    <s v="Completed"/>
  </r>
  <r>
    <x v="732"/>
    <x v="3"/>
    <d v="2024-06-12T00:00:00"/>
    <n v="-169"/>
    <s v="CUST-4973"/>
    <s v="Arjun Bose"/>
    <s v="Small Business"/>
    <x v="0"/>
    <x v="7"/>
    <s v="Ludhiana"/>
    <x v="2"/>
    <s v="Phones"/>
    <s v="Max Phones 678"/>
    <x v="3"/>
    <n v="6"/>
    <n v="2464.63"/>
    <n v="0"/>
    <n v="14787.78"/>
    <n v="8596.65"/>
    <n v="6191.13"/>
    <x v="0"/>
    <s v="Completed"/>
  </r>
  <r>
    <x v="733"/>
    <x v="210"/>
    <d v="2024-06-28T00:00:00"/>
    <n v="7"/>
    <s v="CUST-2394"/>
    <s v="Aarav Sharma"/>
    <s v="Home Office"/>
    <x v="0"/>
    <x v="0"/>
    <s v="Jaipur"/>
    <x v="1"/>
    <s v="Furnishings"/>
    <s v="Classic Furnishings 582"/>
    <x v="2"/>
    <n v="9"/>
    <n v="2797.96"/>
    <n v="0"/>
    <n v="25181.64"/>
    <n v="15337.9"/>
    <n v="9843.74"/>
    <x v="0"/>
    <s v="Completed"/>
  </r>
  <r>
    <x v="734"/>
    <x v="448"/>
    <d v="2024-08-24T00:00:00"/>
    <n v="0"/>
    <s v="CUST-5406"/>
    <s v="Ananya Rao"/>
    <s v="Small Business"/>
    <x v="0"/>
    <x v="0"/>
    <s v="Jaipur"/>
    <x v="2"/>
    <s v="Accessories"/>
    <s v="Classic Accessories 981"/>
    <x v="2"/>
    <n v="4"/>
    <n v="2761.86"/>
    <n v="0.2"/>
    <n v="8837.9500000000007"/>
    <n v="6157.27"/>
    <n v="2680.68"/>
    <x v="0"/>
    <s v="Completed"/>
  </r>
  <r>
    <x v="735"/>
    <x v="349"/>
    <d v="2024-08-19T00:00:00"/>
    <n v="-81"/>
    <s v="CUST-1963"/>
    <s v="Mira Das"/>
    <s v="Consumer"/>
    <x v="3"/>
    <x v="3"/>
    <s v="Mumbai"/>
    <x v="1"/>
    <s v="Tables"/>
    <s v="Classic Tables 534"/>
    <x v="3"/>
    <n v="6"/>
    <n v="1515.79"/>
    <n v="0.2"/>
    <n v="7275.79"/>
    <n v="6152.87"/>
    <n v="1122.92"/>
    <x v="0"/>
    <s v="Completed"/>
  </r>
  <r>
    <x v="736"/>
    <x v="393"/>
    <d v="2024-09-12T00:00:00"/>
    <n v="92"/>
    <s v="CUST-9017"/>
    <s v="Aditi Sen"/>
    <s v="Consumer"/>
    <x v="3"/>
    <x v="3"/>
    <s v="Mumbai"/>
    <x v="1"/>
    <s v="Chairs"/>
    <s v="Pro Chairs 383"/>
    <x v="0"/>
    <n v="9"/>
    <n v="290.75"/>
    <n v="0.1"/>
    <n v="2355.08"/>
    <n v="1350.03"/>
    <n v="1005.05"/>
    <x v="0"/>
    <s v="Completed"/>
  </r>
  <r>
    <x v="737"/>
    <x v="308"/>
    <d v="2024-10-02T00:00:00"/>
    <n v="0"/>
    <s v="CUST-7967"/>
    <s v="Isha Nair"/>
    <s v="Home Office"/>
    <x v="3"/>
    <x v="3"/>
    <s v="Mumbai"/>
    <x v="1"/>
    <s v="Chairs"/>
    <s v="Max Chairs 845"/>
    <x v="1"/>
    <n v="6"/>
    <n v="601.52"/>
    <n v="0"/>
    <n v="3609.12"/>
    <n v="2645.5"/>
    <n v="963.62"/>
    <x v="0"/>
    <s v="Completed"/>
  </r>
  <r>
    <x v="738"/>
    <x v="139"/>
    <d v="2025-02-22T00:00:00"/>
    <n v="2"/>
    <s v="CUST-5334"/>
    <s v="Priya Menon"/>
    <s v="Corporate"/>
    <x v="2"/>
    <x v="13"/>
    <s v="Kochi"/>
    <x v="0"/>
    <s v="Paper"/>
    <s v="Prime Paper 307"/>
    <x v="2"/>
    <n v="1"/>
    <n v="2188.19"/>
    <n v="0"/>
    <n v="2188.19"/>
    <n v="1298.8399999999999"/>
    <n v="889.35"/>
    <x v="0"/>
    <s v="Completed"/>
  </r>
  <r>
    <x v="739"/>
    <x v="38"/>
    <d v="2024-12-10T00:00:00"/>
    <n v="273"/>
    <s v="CUST-5846"/>
    <s v="Neha Gupta"/>
    <s v="Corporate"/>
    <x v="0"/>
    <x v="0"/>
    <s v="Jaipur"/>
    <x v="2"/>
    <s v="Phones"/>
    <s v="Basic Phones 859"/>
    <x v="3"/>
    <n v="5"/>
    <n v="2393.86"/>
    <n v="0.05"/>
    <n v="11370.84"/>
    <n v="7469.58"/>
    <n v="3901.26"/>
    <x v="0"/>
    <s v="Completed"/>
  </r>
  <r>
    <x v="740"/>
    <x v="153"/>
    <d v="2024-04-02T00:00:00"/>
    <n v="58"/>
    <s v="CUST-7932"/>
    <s v="Sneha Kapoor"/>
    <s v="Small Business"/>
    <x v="3"/>
    <x v="3"/>
    <s v="Mumbai"/>
    <x v="1"/>
    <s v="Chairs"/>
    <s v="Eco Chairs 883"/>
    <x v="2"/>
    <n v="4"/>
    <n v="2583"/>
    <n v="0.1"/>
    <n v="9298.7999999999993"/>
    <n v="6548.5"/>
    <n v="2750.3"/>
    <x v="0"/>
    <s v="Completed"/>
  </r>
  <r>
    <x v="741"/>
    <x v="449"/>
    <d v="2025-04-25T00:00:00"/>
    <n v="2"/>
    <s v="CUST-3285"/>
    <s v="Isha Nair"/>
    <s v="Home Office"/>
    <x v="2"/>
    <x v="17"/>
    <s v="Chennai"/>
    <x v="1"/>
    <s v="Chairs"/>
    <s v="Max Chairs 706"/>
    <x v="0"/>
    <n v="3"/>
    <n v="2951.12"/>
    <m/>
    <n v="7082.69"/>
    <n v="5596.34"/>
    <n v="1486.35"/>
    <x v="0"/>
    <s v="Cancelled"/>
  </r>
  <r>
    <x v="742"/>
    <x v="390"/>
    <d v="2024-10-22T00:00:00"/>
    <n v="7"/>
    <s v="CUST-6368"/>
    <s v="Karan Malhotra"/>
    <s v="Corporate"/>
    <x v="1"/>
    <x v="1"/>
    <s v="Bhubaneswar"/>
    <x v="0"/>
    <s v="Paper"/>
    <s v="Prime Paper 768"/>
    <x v="3"/>
    <n v="4"/>
    <n v="2260.9499999999998"/>
    <n v="0"/>
    <n v="9043.7999999999993"/>
    <n v="5913.38"/>
    <n v="3130.42"/>
    <x v="0"/>
    <s v="Completed"/>
  </r>
  <r>
    <x v="743"/>
    <x v="280"/>
    <d v="2025-02-14T00:00:00"/>
    <n v="2"/>
    <s v="CUST-6231"/>
    <s v="Sneha Kapoor"/>
    <s v="Consumer"/>
    <x v="0"/>
    <x v="8"/>
    <s v="Noida"/>
    <x v="0"/>
    <s v="Art"/>
    <s v="Basic Art 764"/>
    <x v="3"/>
    <n v="6"/>
    <n v="491.4"/>
    <n v="0.25"/>
    <n v="2211.3000000000002"/>
    <n v="1735.64"/>
    <n v="475.66"/>
    <x v="0"/>
    <s v="Completed"/>
  </r>
  <r>
    <x v="744"/>
    <x v="217"/>
    <d v="2025-08-20T00:00:00"/>
    <n v="3"/>
    <s v="CUST-2021"/>
    <s v="Mira Das"/>
    <s v="Home Office"/>
    <x v="0"/>
    <x v="7"/>
    <s v="Ludhiana"/>
    <x v="0"/>
    <s v="Binders"/>
    <s v="Prime Binders 181"/>
    <x v="2"/>
    <n v="5"/>
    <n v="2701.89"/>
    <n v="0.1"/>
    <n v="12158.5"/>
    <n v="10260.07"/>
    <n v="1898.43"/>
    <x v="0"/>
    <s v="Cancelled"/>
  </r>
  <r>
    <x v="745"/>
    <x v="450"/>
    <d v="2024-10-28T00:00:00"/>
    <n v="4"/>
    <s v="CUST-1493"/>
    <s v="Mira Das"/>
    <s v="Small Business"/>
    <x v="1"/>
    <x v="10"/>
    <s v="Guwahati"/>
    <x v="2"/>
    <s v="Copiers"/>
    <s v="Max Copiers 866"/>
    <x v="3"/>
    <n v="3"/>
    <n v="723.59"/>
    <n v="0.2"/>
    <n v="1736.62"/>
    <n v="1059.52"/>
    <n v="677.1"/>
    <x v="0"/>
    <s v="Completed"/>
  </r>
  <r>
    <x v="746"/>
    <x v="451"/>
    <d v="2025-10-01T00:00:00"/>
    <n v="183"/>
    <s v="CUST-2314"/>
    <s v="Aarav Sharma"/>
    <s v="Home Office"/>
    <x v="1"/>
    <x v="6"/>
    <s v="Kolkata"/>
    <x v="0"/>
    <s v="Paper"/>
    <s v="Pro Paper 662"/>
    <x v="3"/>
    <n v="4"/>
    <n v="2583.19"/>
    <n v="0.2"/>
    <n v="8266.2099999999991"/>
    <n v="6236.32"/>
    <n v="2029.89"/>
    <x v="0"/>
    <s v="Completed"/>
  </r>
  <r>
    <x v="747"/>
    <x v="237"/>
    <d v="2024-07-05T00:00:00"/>
    <n v="182"/>
    <s v="CUST-8416"/>
    <s v="Isha Nair"/>
    <s v="Home Office"/>
    <x v="1"/>
    <x v="1"/>
    <s v="Bhubaneswar"/>
    <x v="0"/>
    <s v="Paper"/>
    <s v="Classic Paper 388"/>
    <x v="1"/>
    <n v="8"/>
    <n v="1473.83"/>
    <n v="0.15"/>
    <n v="10022.040000000001"/>
    <n v="5576.98"/>
    <n v="4445.0600000000004"/>
    <x v="0"/>
    <s v="Completed"/>
  </r>
  <r>
    <x v="748"/>
    <x v="452"/>
    <d v="2024-05-30T00:00:00"/>
    <n v="0"/>
    <s v="CUST-3103"/>
    <s v="Diya Patel"/>
    <s v="Home Office"/>
    <x v="0"/>
    <x v="16"/>
    <s v="Gurugram"/>
    <x v="2"/>
    <s v="Phones"/>
    <s v="Pro Phones 765"/>
    <x v="0"/>
    <n v="1"/>
    <n v="3848.04"/>
    <n v="0.25"/>
    <n v="2886.03"/>
    <n v="2064.83"/>
    <n v="821.2"/>
    <x v="0"/>
    <s v="Completed"/>
  </r>
  <r>
    <x v="749"/>
    <x v="453"/>
    <d v="2024-03-25T00:00:00"/>
    <n v="4"/>
    <s v="CUST-4457"/>
    <s v="Aditi Sen"/>
    <s v="Home Office"/>
    <x v="1"/>
    <x v="10"/>
    <s v="Guwahati"/>
    <x v="2"/>
    <s v="Machines"/>
    <s v="Classic Machines 543"/>
    <x v="3"/>
    <n v="1"/>
    <n v="1716.7"/>
    <n v="0.15"/>
    <n v="1459.19"/>
    <n v="1055.79"/>
    <n v="403.4"/>
    <x v="0"/>
    <s v="Completed"/>
  </r>
  <r>
    <x v="750"/>
    <x v="454"/>
    <d v="2025-02-06T00:00:00"/>
    <n v="-116"/>
    <s v="CUST-7036"/>
    <s v="Aarav Sharma"/>
    <s v="Home Office"/>
    <x v="2"/>
    <x v="2"/>
    <s v="Hyderabad"/>
    <x v="2"/>
    <s v="Accessories"/>
    <s v="Max Accessories 291"/>
    <x v="2"/>
    <n v="8"/>
    <n v="3925.93"/>
    <n v="0.15"/>
    <n v="26696.32"/>
    <n v="22724.52"/>
    <n v="3971.8"/>
    <x v="0"/>
    <s v="Completed"/>
  </r>
  <r>
    <x v="751"/>
    <x v="363"/>
    <d v="2025-07-19T00:00:00"/>
    <n v="1"/>
    <s v="CUST-8512"/>
    <s v="Priya Menon"/>
    <s v="Home Office"/>
    <x v="4"/>
    <x v="8"/>
    <s v="Noida"/>
    <x v="2"/>
    <s v="Machines"/>
    <s v="Eco Machines 414"/>
    <x v="4"/>
    <n v="3"/>
    <n v="2963.25"/>
    <n v="0.05"/>
    <n v="8445.26"/>
    <n v="6937.6"/>
    <n v="1507.66"/>
    <x v="0"/>
    <s v="Completed"/>
  </r>
  <r>
    <x v="752"/>
    <x v="81"/>
    <d v="2024-03-27T00:00:00"/>
    <n v="3"/>
    <s v="CUST-6345"/>
    <s v="Aditi Sen"/>
    <s v="Corporate"/>
    <x v="3"/>
    <x v="12"/>
    <s v="Ahmedabad"/>
    <x v="0"/>
    <s v="Storage"/>
    <s v="Basic Storage 273"/>
    <x v="2"/>
    <n v="5"/>
    <n v="2465.2199999999998"/>
    <n v="0.05"/>
    <n v="11709.79"/>
    <n v="8372.2900000000009"/>
    <n v="3337.5"/>
    <x v="0"/>
    <s v="Completed"/>
  </r>
  <r>
    <x v="753"/>
    <x v="349"/>
    <d v="2024-10-08T00:00:00"/>
    <n v="-31"/>
    <s v="CUST-4505"/>
    <s v="Aditi Sen"/>
    <s v="Corporate"/>
    <x v="0"/>
    <x v="18"/>
    <s v="New Delhi"/>
    <x v="1"/>
    <s v="Furnishings"/>
    <s v="Elite Furnishings 588"/>
    <x v="0"/>
    <n v="3"/>
    <n v="1017.22"/>
    <n v="0.15"/>
    <n v="2593.91"/>
    <n v="1848.48"/>
    <n v="745.43"/>
    <x v="3"/>
    <s v="Returned"/>
  </r>
  <r>
    <x v="754"/>
    <x v="202"/>
    <d v="2025-06-04T00:00:00"/>
    <n v="0"/>
    <s v="CUST-7960"/>
    <s v="Neha Gupta"/>
    <s v="Corporate"/>
    <x v="2"/>
    <x v="13"/>
    <s v="Kochi"/>
    <x v="0"/>
    <s v="Storage"/>
    <s v="Elite Storage 857"/>
    <x v="3"/>
    <n v="4"/>
    <n v="891.34"/>
    <n v="0.25"/>
    <n v="2674.02"/>
    <n v="2207.5700000000002"/>
    <n v="466.45"/>
    <x v="0"/>
    <s v="Completed"/>
  </r>
  <r>
    <x v="755"/>
    <x v="167"/>
    <d v="2025-07-24T00:00:00"/>
    <n v="4"/>
    <s v="CUST-3365"/>
    <s v="Priya Menon"/>
    <s v="Home Office"/>
    <x v="3"/>
    <x v="4"/>
    <s v="Indore"/>
    <x v="0"/>
    <s v="Storage"/>
    <s v="Prime Storage 183"/>
    <x v="0"/>
    <n v="5"/>
    <n v="2481.7399999999998"/>
    <n v="0.2"/>
    <n v="9926.9599999999991"/>
    <n v="7994.98"/>
    <n v="1931.98"/>
    <x v="0"/>
    <s v="Completed"/>
  </r>
  <r>
    <x v="756"/>
    <x v="455"/>
    <d v="2024-11-01T00:00:00"/>
    <n v="5"/>
    <s v="CUST-1557"/>
    <s v="Rohan Mehta"/>
    <s v="Consumer"/>
    <x v="0"/>
    <x v="0"/>
    <s v="Jaipur"/>
    <x v="2"/>
    <s v="Accessories"/>
    <s v="Smart Accessories 362"/>
    <x v="1"/>
    <n v="7"/>
    <n v="2177.1"/>
    <n v="0.2"/>
    <n v="12191.76"/>
    <n v="10457.49"/>
    <n v="1734.27"/>
    <x v="0"/>
    <s v="Returned"/>
  </r>
  <r>
    <x v="757"/>
    <x v="437"/>
    <d v="2025-03-08T00:00:00"/>
    <n v="59"/>
    <s v="CUST-3058"/>
    <s v="Aditi Sen"/>
    <s v="Small Business"/>
    <x v="2"/>
    <x v="13"/>
    <s v="Kochi"/>
    <x v="1"/>
    <s v="Bookcases"/>
    <s v="Classic Bookcases 310"/>
    <x v="3"/>
    <n v="3"/>
    <n v="1904.78"/>
    <n v="0.25"/>
    <n v="4285.76"/>
    <n v="2386.33"/>
    <n v="1899.43"/>
    <x v="3"/>
    <s v="Cancelled"/>
  </r>
  <r>
    <x v="758"/>
    <x v="144"/>
    <d v="2024-10-05T00:00:00"/>
    <n v="243"/>
    <s v="CUST-6076"/>
    <s v="Aarav Sharma"/>
    <s v="Small Business"/>
    <x v="2"/>
    <x v="11"/>
    <s v="Bengaluru"/>
    <x v="1"/>
    <s v="Chairs"/>
    <s v="Prime Chairs 721"/>
    <x v="3"/>
    <n v="1"/>
    <n v="4166.91"/>
    <n v="0"/>
    <n v="4166.91"/>
    <n v="3412.63"/>
    <n v="754.28"/>
    <x v="0"/>
    <s v="Completed"/>
  </r>
  <r>
    <x v="759"/>
    <x v="43"/>
    <d v="2024-07-26T00:00:00"/>
    <n v="7"/>
    <s v="CUST-2098"/>
    <s v="Arjun Bose"/>
    <s v="Home Office"/>
    <x v="2"/>
    <x v="11"/>
    <s v="Bengaluru"/>
    <x v="1"/>
    <s v="Tables"/>
    <s v="Prime Tables 797"/>
    <x v="0"/>
    <n v="5"/>
    <n v="3986.01"/>
    <n v="0.25"/>
    <n v="14947.54"/>
    <n v="9438.4599999999991"/>
    <n v="5509.08"/>
    <x v="0"/>
    <s v="Completed"/>
  </r>
  <r>
    <x v="760"/>
    <x v="456"/>
    <d v="2024-02-09T00:00:00"/>
    <n v="-201"/>
    <s v="CUST-7193"/>
    <s v="Aditi Sen"/>
    <s v="Home Office"/>
    <x v="1"/>
    <x v="10"/>
    <s v="Guwahati"/>
    <x v="0"/>
    <s v="Art"/>
    <s v="Max Art 926"/>
    <x v="0"/>
    <n v="4"/>
    <n v="3365.53"/>
    <n v="0"/>
    <n v="13462.12"/>
    <n v="7600.63"/>
    <n v="5861.49"/>
    <x v="2"/>
    <s v="Returned"/>
  </r>
  <r>
    <x v="761"/>
    <x v="457"/>
    <d v="2025-08-31T00:00:00"/>
    <n v="4"/>
    <s v="CUST-8948"/>
    <s v="Isha Nair"/>
    <s v="Consumer"/>
    <x v="2"/>
    <x v="11"/>
    <s v="Bengaluru"/>
    <x v="2"/>
    <s v="Machines"/>
    <s v="Max Machines 364"/>
    <x v="2"/>
    <n v="3"/>
    <n v="2489.12"/>
    <n v="0"/>
    <n v="7467.36"/>
    <n v="5010.6099999999997"/>
    <n v="2456.75"/>
    <x v="0"/>
    <s v="Completed"/>
  </r>
  <r>
    <x v="762"/>
    <x v="458"/>
    <d v="2024-05-01T00:00:00"/>
    <n v="121"/>
    <s v="CUST-6921"/>
    <s v="Diya Patel"/>
    <s v="Corporate"/>
    <x v="3"/>
    <x v="4"/>
    <s v="Indore"/>
    <x v="2"/>
    <s v="Machines"/>
    <s v="Classic Machines 122"/>
    <x v="0"/>
    <n v="2"/>
    <n v="3694.12"/>
    <n v="0.2"/>
    <n v="5910.59"/>
    <n v="4775.4399999999996"/>
    <n v="1135.1500000000001"/>
    <x v="1"/>
    <s v="Returned"/>
  </r>
  <r>
    <x v="763"/>
    <x v="100"/>
    <d v="2025-08-25T00:00:00"/>
    <n v="2"/>
    <s v="CUST-4086"/>
    <s v="Diya Patel"/>
    <s v="Consumer"/>
    <x v="0"/>
    <x v="0"/>
    <s v="Jaipur"/>
    <x v="1"/>
    <s v="Furnishings"/>
    <s v="Elite Furnishings 169"/>
    <x v="1"/>
    <n v="6"/>
    <n v="2742.48"/>
    <n v="0"/>
    <n v="16454.88"/>
    <n v="12081.54"/>
    <n v="4373.34"/>
    <x v="0"/>
    <s v="Completed"/>
  </r>
  <r>
    <x v="764"/>
    <x v="273"/>
    <d v="2025-04-13T00:00:00"/>
    <n v="0"/>
    <s v="CUST-5174"/>
    <s v="Priya Menon"/>
    <s v="Corporate"/>
    <x v="2"/>
    <x v="13"/>
    <s v="Kochi"/>
    <x v="1"/>
    <s v="Bookcases"/>
    <s v="Pro Bookcases 615"/>
    <x v="2"/>
    <n v="6"/>
    <n v="4414"/>
    <n v="0.05"/>
    <n v="25159.8"/>
    <n v="21606.83"/>
    <n v="3552.97"/>
    <x v="0"/>
    <s v="Completed"/>
  </r>
  <r>
    <x v="765"/>
    <x v="171"/>
    <d v="2025-03-07T00:00:00"/>
    <n v="-114"/>
    <s v="CUST-8747"/>
    <s v="Vikram Iyer"/>
    <s v="Corporate"/>
    <x v="1"/>
    <x v="15"/>
    <s v="Ranchi"/>
    <x v="0"/>
    <s v="Labels"/>
    <s v="Max Labels 136"/>
    <x v="2"/>
    <n v="3"/>
    <n v="608.14"/>
    <n v="0"/>
    <n v="1824.42"/>
    <n v="1214.8699999999999"/>
    <n v="609.54999999999995"/>
    <x v="0"/>
    <s v="Completed"/>
  </r>
  <r>
    <x v="766"/>
    <x v="374"/>
    <d v="2024-09-24T00:00:00"/>
    <n v="7"/>
    <s v="CUST-3156"/>
    <s v="Mira Das"/>
    <s v="Corporate"/>
    <x v="3"/>
    <x v="12"/>
    <s v="Ahmedabad"/>
    <x v="0"/>
    <s v="Art"/>
    <s v="Prime Art 380"/>
    <x v="0"/>
    <n v="9"/>
    <n v="2307.96"/>
    <n v="0.2"/>
    <n v="16617.310000000001"/>
    <n v="9195.73"/>
    <n v="7421.58"/>
    <x v="0"/>
    <s v="Cancelled"/>
  </r>
  <r>
    <x v="767"/>
    <x v="459"/>
    <d v="2024-05-06T00:00:00"/>
    <n v="62"/>
    <s v="CUST-2043"/>
    <s v="Ananya Rao"/>
    <s v="Home Office"/>
    <x v="0"/>
    <x v="8"/>
    <s v="Noida"/>
    <x v="0"/>
    <s v="Binders"/>
    <s v="Classic Binders 234"/>
    <x v="3"/>
    <n v="1"/>
    <n v="1244.58"/>
    <n v="0.25"/>
    <n v="933.43"/>
    <n v="583.09"/>
    <n v="350.34"/>
    <x v="0"/>
    <s v="Completed"/>
  </r>
  <r>
    <x v="768"/>
    <x v="460"/>
    <d v="2025-04-04T00:00:00"/>
    <n v="59"/>
    <s v="CUST-8808"/>
    <s v="Sneha Kapoor"/>
    <s v="Home Office"/>
    <x v="1"/>
    <x v="15"/>
    <s v="Ranchi"/>
    <x v="0"/>
    <s v="Paper"/>
    <s v="Classic Paper 280"/>
    <x v="1"/>
    <n v="5"/>
    <n v="3234.24"/>
    <n v="0.1"/>
    <n v="14554.08"/>
    <n v="11166.84"/>
    <n v="3387.24"/>
    <x v="0"/>
    <s v="Completed"/>
  </r>
  <r>
    <x v="769"/>
    <x v="207"/>
    <d v="2024-05-13T00:00:00"/>
    <n v="2"/>
    <s v="CUST-1293"/>
    <s v="Priya Menon"/>
    <s v="Home Office"/>
    <x v="3"/>
    <x v="14"/>
    <s v="Panaji"/>
    <x v="1"/>
    <s v="Bookcases"/>
    <s v="Classic Bookcases 922"/>
    <x v="1"/>
    <n v="3"/>
    <n v="3612.75"/>
    <n v="0.25"/>
    <n v="8128.69"/>
    <n v="5071.66"/>
    <n v="3057.03"/>
    <x v="0"/>
    <s v="Completed"/>
  </r>
  <r>
    <x v="770"/>
    <x v="107"/>
    <d v="2024-02-17T00:00:00"/>
    <n v="2"/>
    <s v="CUST-8384"/>
    <s v="Neha Gupta"/>
    <s v="Consumer"/>
    <x v="0"/>
    <x v="8"/>
    <s v="Noida"/>
    <x v="2"/>
    <s v="Copiers"/>
    <s v="Eco Copiers 396"/>
    <x v="2"/>
    <n v="4"/>
    <n v="863"/>
    <m/>
    <n v="3106.8"/>
    <n v="2376.62"/>
    <n v="730.18"/>
    <x v="0"/>
    <s v="Completed"/>
  </r>
  <r>
    <x v="771"/>
    <x v="461"/>
    <d v="2024-07-14T00:00:00"/>
    <n v="-146"/>
    <s v="CUST-7861"/>
    <s v="Ananya Rao"/>
    <s v="Consumer"/>
    <x v="0"/>
    <x v="16"/>
    <s v="Gurugram"/>
    <x v="2"/>
    <s v="Machines"/>
    <s v="Basic Machines 401"/>
    <x v="0"/>
    <n v="4"/>
    <n v="2131.41"/>
    <m/>
    <n v="6394.23"/>
    <n v="3520.69"/>
    <n v="2873.54"/>
    <x v="0"/>
    <s v="Completed"/>
  </r>
  <r>
    <x v="772"/>
    <x v="18"/>
    <d v="2025-07-19T00:00:00"/>
    <n v="4"/>
    <s v="CUST-8422"/>
    <s v="Diya Patel"/>
    <s v="Consumer"/>
    <x v="2"/>
    <x v="17"/>
    <s v="Chennai"/>
    <x v="1"/>
    <s v="Chairs"/>
    <s v="Basic Chairs 279"/>
    <x v="1"/>
    <n v="1"/>
    <n v="3903.22"/>
    <n v="0.05"/>
    <n v="3708.06"/>
    <n v="2760.29"/>
    <n v="947.77"/>
    <x v="2"/>
    <s v="Cancelled"/>
  </r>
  <r>
    <x v="773"/>
    <x v="265"/>
    <d v="2025-02-21T00:00:00"/>
    <n v="0"/>
    <s v="CUST-4766"/>
    <s v="Karan Malhotra"/>
    <s v="Home Office"/>
    <x v="3"/>
    <x v="12"/>
    <s v="Ahmedabad"/>
    <x v="2"/>
    <s v="Phones"/>
    <s v="Basic Phones 753"/>
    <x v="4"/>
    <n v="4"/>
    <n v="2945.07"/>
    <n v="0.2"/>
    <n v="9424.2199999999993"/>
    <n v="6178.92"/>
    <n v="3245.3"/>
    <x v="0"/>
    <s v="Completed"/>
  </r>
  <r>
    <x v="774"/>
    <x v="72"/>
    <d v="2025-07-08T00:00:00"/>
    <n v="0"/>
    <s v="CUST-1182"/>
    <s v="Kabir Singh"/>
    <s v="Consumer"/>
    <x v="3"/>
    <x v="0"/>
    <s v="Udaipur"/>
    <x v="2"/>
    <s v="Machines"/>
    <s v="Smart Machines 789"/>
    <x v="4"/>
    <n v="9"/>
    <n v="1076.75"/>
    <n v="0.2"/>
    <n v="7752.6"/>
    <n v="4689.3"/>
    <n v="3063.3"/>
    <x v="0"/>
    <s v="Completed"/>
  </r>
  <r>
    <x v="775"/>
    <x v="462"/>
    <d v="2024-04-22T00:00:00"/>
    <n v="8"/>
    <s v="CUST-4461"/>
    <s v="Arjun Bose"/>
    <s v="Consumer"/>
    <x v="0"/>
    <x v="16"/>
    <s v="Gurugram"/>
    <x v="2"/>
    <s v="Accessories"/>
    <s v="Elite Accessories 312"/>
    <x v="3"/>
    <n v="8"/>
    <n v="3956.12"/>
    <n v="0.25"/>
    <n v="23736.720000000001"/>
    <n v="13890.9"/>
    <n v="9845.82"/>
    <x v="0"/>
    <s v="Completed"/>
  </r>
  <r>
    <x v="776"/>
    <x v="463"/>
    <d v="2025-06-13T00:00:00"/>
    <n v="-54"/>
    <s v="CUST-9690"/>
    <s v="Aditi Sen"/>
    <s v="Small Business"/>
    <x v="0"/>
    <x v="0"/>
    <s v="Jaipur"/>
    <x v="2"/>
    <s v="Copiers"/>
    <s v="Eco Copiers 528"/>
    <x v="0"/>
    <n v="7"/>
    <n v="3857.13"/>
    <n v="0"/>
    <n v="26999.91"/>
    <n v="17815.98"/>
    <n v="9183.93"/>
    <x v="0"/>
    <s v="Completed"/>
  </r>
  <r>
    <x v="777"/>
    <x v="315"/>
    <d v="2024-06-02T00:00:00"/>
    <n v="61"/>
    <s v="CUST-6879"/>
    <s v="Kabir Singh"/>
    <s v="Small Business"/>
    <x v="3"/>
    <x v="4"/>
    <s v="Indore"/>
    <x v="2"/>
    <s v="Accessories"/>
    <s v="Elite Accessories 226"/>
    <x v="0"/>
    <n v="4"/>
    <n v="1489.74"/>
    <n v="0.15"/>
    <n v="5065.12"/>
    <n v="3530.12"/>
    <n v="1535"/>
    <x v="3"/>
    <s v="Cancelled"/>
  </r>
  <r>
    <x v="778"/>
    <x v="250"/>
    <d v="2024-07-24T00:00:00"/>
    <n v="0"/>
    <s v="CUST-4714"/>
    <s v="Karan Malhotra"/>
    <s v="Small Business"/>
    <x v="0"/>
    <x v="16"/>
    <s v="Gurugram"/>
    <x v="2"/>
    <s v="Copiers"/>
    <s v="Pro Copiers 298"/>
    <x v="0"/>
    <n v="4"/>
    <n v="1676.88"/>
    <n v="0"/>
    <n v="6707.52"/>
    <n v="5672.57"/>
    <n v="1034.95"/>
    <x v="0"/>
    <s v="Completed"/>
  </r>
  <r>
    <x v="779"/>
    <x v="320"/>
    <d v="2024-01-20T00:00:00"/>
    <n v="5"/>
    <s v="CUST-7547"/>
    <s v="Priya Menon"/>
    <s v="Small Business"/>
    <x v="2"/>
    <x v="5"/>
    <s v="Vijayawada"/>
    <x v="1"/>
    <s v="Chairs"/>
    <s v="Prime Chairs 331"/>
    <x v="3"/>
    <n v="4"/>
    <n v="3153.54"/>
    <n v="0.05"/>
    <n v="11983.45"/>
    <n v="8572.9"/>
    <n v="3410.55"/>
    <x v="0"/>
    <s v="Completed"/>
  </r>
  <r>
    <x v="780"/>
    <x v="464"/>
    <d v="2024-08-10T00:00:00"/>
    <n v="124"/>
    <s v="CUST-3288"/>
    <s v="Diya Patel"/>
    <s v="Small Business"/>
    <x v="3"/>
    <x v="0"/>
    <s v="Udaipur"/>
    <x v="1"/>
    <s v="Chairs"/>
    <s v="Classic Chairs 798"/>
    <x v="1"/>
    <n v="4"/>
    <n v="426.43"/>
    <n v="0.2"/>
    <n v="1364.58"/>
    <n v="978.16"/>
    <n v="386.42"/>
    <x v="0"/>
    <s v="Completed"/>
  </r>
  <r>
    <x v="781"/>
    <x v="465"/>
    <d v="2024-10-02T00:00:00"/>
    <n v="243"/>
    <s v="CUST-8597"/>
    <s v="Karan Malhotra"/>
    <s v="Home Office"/>
    <x v="3"/>
    <x v="0"/>
    <s v="Udaipur"/>
    <x v="0"/>
    <s v="Labels"/>
    <s v="Classic Labels 204"/>
    <x v="2"/>
    <n v="3"/>
    <n v="383.4"/>
    <n v="0.25"/>
    <n v="862.65"/>
    <n v="603.73"/>
    <n v="258.92"/>
    <x v="2"/>
    <s v="Returned"/>
  </r>
  <r>
    <x v="782"/>
    <x v="466"/>
    <d v="2025-03-22T00:00:00"/>
    <n v="8"/>
    <s v="CUST-9085"/>
    <s v="Mira Das"/>
    <s v="Corporate"/>
    <x v="1"/>
    <x v="6"/>
    <s v="Kolkata"/>
    <x v="2"/>
    <s v="Copiers"/>
    <s v="Basic Copiers 254"/>
    <x v="3"/>
    <n v="2"/>
    <n v="669.63"/>
    <n v="0.15"/>
    <n v="1138.3699999999999"/>
    <n v="797.34"/>
    <n v="341.03"/>
    <x v="0"/>
    <s v="Completed"/>
  </r>
  <r>
    <x v="783"/>
    <x v="123"/>
    <d v="2024-07-06T00:00:00"/>
    <n v="0"/>
    <s v="CUST-7746"/>
    <s v="Aarav Sharma"/>
    <s v="Small Business"/>
    <x v="1"/>
    <x v="9"/>
    <s v="Patna"/>
    <x v="0"/>
    <s v="Art"/>
    <s v="Basic Art 709"/>
    <x v="0"/>
    <n v="1"/>
    <n v="2581.9299999999998"/>
    <n v="0.05"/>
    <n v="2452.83"/>
    <n v="1906.7"/>
    <n v="546.13"/>
    <x v="0"/>
    <s v="Completed"/>
  </r>
  <r>
    <x v="784"/>
    <x v="185"/>
    <d v="2025-05-10T00:00:00"/>
    <n v="-147"/>
    <s v="CUST-3119"/>
    <s v="Priya Menon"/>
    <s v="Corporate"/>
    <x v="0"/>
    <x v="7"/>
    <s v="Ludhiana"/>
    <x v="2"/>
    <s v="Copiers"/>
    <s v="Max Copiers 551"/>
    <x v="2"/>
    <n v="4"/>
    <n v="418.18"/>
    <n v="0.05"/>
    <n v="1589.08"/>
    <n v="1084.6600000000001"/>
    <n v="504.42"/>
    <x v="0"/>
    <s v="Completed"/>
  </r>
  <r>
    <x v="785"/>
    <x v="467"/>
    <d v="2024-05-29T00:00:00"/>
    <n v="6"/>
    <s v="CUST-7518"/>
    <s v="Diya Patel"/>
    <s v="Small Business"/>
    <x v="0"/>
    <x v="16"/>
    <s v="Gurugram"/>
    <x v="0"/>
    <s v="Storage"/>
    <s v="Eco Storage 183"/>
    <x v="1"/>
    <n v="2"/>
    <n v="3012.94"/>
    <n v="0.25"/>
    <n v="4519.41"/>
    <n v="3504.16"/>
    <n v="1275.55"/>
    <x v="3"/>
    <s v="Cancelled"/>
  </r>
  <r>
    <x v="786"/>
    <x v="194"/>
    <d v="2025-08-07T00:00:00"/>
    <n v="32"/>
    <s v="CUST-1343"/>
    <s v="Ananya Rao"/>
    <s v="Corporate"/>
    <x v="0"/>
    <x v="0"/>
    <s v="Jaipur"/>
    <x v="1"/>
    <s v="Furnishings"/>
    <s v="Pro Furnishings 233"/>
    <x v="4"/>
    <n v="4"/>
    <n v="715.45"/>
    <n v="0.05"/>
    <n v="2718.71"/>
    <n v="2065.0500000000002"/>
    <n v="653.66"/>
    <x v="1"/>
    <s v="Returned"/>
  </r>
  <r>
    <x v="787"/>
    <x v="204"/>
    <d v="2024-09-18T00:00:00"/>
    <n v="-82"/>
    <s v="CUST-7548"/>
    <s v="Ananya Rao"/>
    <s v="Home Office"/>
    <x v="1"/>
    <x v="9"/>
    <s v="Patna"/>
    <x v="0"/>
    <s v="Paper"/>
    <s v="Prime Paper 878"/>
    <x v="0"/>
    <n v="2"/>
    <n v="3718.77"/>
    <n v="0.05"/>
    <n v="7065.66"/>
    <n v="4915.2700000000004"/>
    <n v="2150.39"/>
    <x v="0"/>
    <s v="Completed"/>
  </r>
  <r>
    <x v="788"/>
    <x v="366"/>
    <d v="2024-02-08T00:00:00"/>
    <n v="31"/>
    <s v="CUST-3631"/>
    <s v="Isha Nair"/>
    <s v="Corporate"/>
    <x v="0"/>
    <x v="8"/>
    <s v="Noida"/>
    <x v="1"/>
    <s v="Chairs"/>
    <s v="Smart Chairs 353"/>
    <x v="3"/>
    <n v="8"/>
    <n v="2487.64"/>
    <n v="0.1"/>
    <n v="17911.009999999998"/>
    <n v="11546.05"/>
    <n v="6364.96"/>
    <x v="3"/>
    <s v="Returned"/>
  </r>
  <r>
    <x v="789"/>
    <x v="223"/>
    <d v="2025-08-03T00:00:00"/>
    <n v="31"/>
    <s v="CUST-1453"/>
    <s v="Priya Menon"/>
    <s v="Home Office"/>
    <x v="4"/>
    <x v="0"/>
    <s v="Udaipur"/>
    <x v="2"/>
    <s v="Copiers"/>
    <s v="Smart Copiers 408"/>
    <x v="1"/>
    <n v="4"/>
    <n v="3537.48"/>
    <n v="0"/>
    <n v="14149.92"/>
    <n v="9466.51"/>
    <n v="4683.41"/>
    <x v="0"/>
    <s v="Completed"/>
  </r>
  <r>
    <x v="790"/>
    <x v="120"/>
    <d v="2024-02-06T00:00:00"/>
    <n v="-115"/>
    <s v="CUST-1951"/>
    <s v="Rahul Verma"/>
    <s v="Corporate"/>
    <x v="2"/>
    <x v="5"/>
    <s v="Vijayawada"/>
    <x v="0"/>
    <s v="Art"/>
    <s v="Classic Art 781"/>
    <x v="3"/>
    <n v="8"/>
    <n v="667.59"/>
    <n v="0.2"/>
    <n v="4272.58"/>
    <n v="3328.92"/>
    <n v="943.66"/>
    <x v="0"/>
    <s v="Completed"/>
  </r>
  <r>
    <x v="791"/>
    <x v="412"/>
    <d v="2024-06-10T00:00:00"/>
    <n v="121"/>
    <s v="CUST-6300"/>
    <s v="Rahul Verma"/>
    <s v="Home Office"/>
    <x v="2"/>
    <x v="11"/>
    <s v="Bengaluru"/>
    <x v="1"/>
    <s v="Bookcases"/>
    <s v="Eco Bookcases 144"/>
    <x v="1"/>
    <n v="8"/>
    <n v="1558.77"/>
    <n v="0.25"/>
    <n v="9352.6200000000008"/>
    <n v="5269.41"/>
    <n v="4083.21"/>
    <x v="0"/>
    <s v="Completed"/>
  </r>
  <r>
    <x v="792"/>
    <x v="189"/>
    <d v="2025-08-06T00:00:00"/>
    <n v="122"/>
    <s v="CUST-1417"/>
    <s v="Arjun Bose"/>
    <s v="Small Business"/>
    <x v="1"/>
    <x v="10"/>
    <s v="Guwahati"/>
    <x v="1"/>
    <s v="Furnishings"/>
    <s v="Elite Furnishings 852"/>
    <x v="0"/>
    <n v="1"/>
    <n v="3501.12"/>
    <n v="0.2"/>
    <n v="2800.9"/>
    <n v="1735.98"/>
    <n v="1064.92"/>
    <x v="0"/>
    <s v="Returned"/>
  </r>
  <r>
    <x v="793"/>
    <x v="188"/>
    <d v="2024-03-06T00:00:00"/>
    <n v="-83"/>
    <s v="CUST-5421"/>
    <s v="Vikram Iyer"/>
    <s v="Corporate"/>
    <x v="0"/>
    <x v="0"/>
    <s v="Jaipur"/>
    <x v="2"/>
    <s v="Copiers"/>
    <s v="Basic Copiers 238"/>
    <x v="0"/>
    <n v="5"/>
    <n v="4302.32"/>
    <n v="0"/>
    <n v="21511.599999999999"/>
    <n v="15408.47"/>
    <n v="6103.13"/>
    <x v="0"/>
    <s v="Completed"/>
  </r>
  <r>
    <x v="794"/>
    <x v="255"/>
    <d v="2025-06-24T00:00:00"/>
    <n v="2"/>
    <s v="CUST-2829"/>
    <s v="Sneha Kapoor"/>
    <s v="Corporate"/>
    <x v="1"/>
    <x v="10"/>
    <s v="Guwahati"/>
    <x v="0"/>
    <s v="Paper"/>
    <s v="Elite Paper 847"/>
    <x v="3"/>
    <n v="9"/>
    <n v="951.55"/>
    <n v="0.15"/>
    <n v="7279.36"/>
    <n v="4870.3900000000003"/>
    <n v="2408.9699999999998"/>
    <x v="0"/>
    <s v="Completed"/>
  </r>
  <r>
    <x v="795"/>
    <x v="79"/>
    <d v="2024-07-30T00:00:00"/>
    <n v="0"/>
    <s v="CUST-6529"/>
    <s v="Diya Patel"/>
    <s v="Home Office"/>
    <x v="1"/>
    <x v="1"/>
    <s v="Bhubaneswar"/>
    <x v="2"/>
    <s v="Copiers"/>
    <s v="Pro Copiers 653"/>
    <x v="1"/>
    <n v="9"/>
    <n v="2894.66"/>
    <n v="0"/>
    <n v="26051.94"/>
    <n v="16883.59"/>
    <n v="9168.35"/>
    <x v="1"/>
    <s v="Cancelled"/>
  </r>
  <r>
    <x v="796"/>
    <x v="121"/>
    <d v="2024-03-30T00:00:00"/>
    <n v="7"/>
    <s v="CUST-3126"/>
    <s v="Rohan Mehta"/>
    <s v="Small Business"/>
    <x v="2"/>
    <x v="5"/>
    <s v="Vijayawada"/>
    <x v="2"/>
    <s v="Machines"/>
    <s v="Elite Machines 459"/>
    <x v="2"/>
    <n v="6"/>
    <n v="1894.44"/>
    <n v="0.15"/>
    <n v="9661.64"/>
    <n v="6303.77"/>
    <n v="3357.87"/>
    <x v="0"/>
    <s v="Completed"/>
  </r>
  <r>
    <x v="797"/>
    <x v="468"/>
    <d v="2024-04-22T00:00:00"/>
    <n v="4"/>
    <s v="CUST-3991"/>
    <s v="Aarav Sharma"/>
    <s v="Consumer"/>
    <x v="1"/>
    <x v="1"/>
    <s v="Bhubaneswar"/>
    <x v="0"/>
    <s v="Binders"/>
    <s v="Elite Binders 764"/>
    <x v="2"/>
    <n v="8"/>
    <n v="1714.37"/>
    <n v="0"/>
    <n v="13714.96"/>
    <n v="10550.47"/>
    <n v="3164.49"/>
    <x v="3"/>
    <s v="Cancelled"/>
  </r>
  <r>
    <x v="798"/>
    <x v="469"/>
    <d v="2025-09-07T00:00:00"/>
    <n v="-61"/>
    <s v="CUST-7553"/>
    <s v="Aditi Sen"/>
    <s v="Corporate"/>
    <x v="0"/>
    <x v="18"/>
    <s v="New Delhi"/>
    <x v="1"/>
    <s v="Furnishings"/>
    <s v="Classic Furnishings 348"/>
    <x v="3"/>
    <n v="9"/>
    <n v="1706.05"/>
    <n v="0"/>
    <n v="15354.45"/>
    <n v="9656.5"/>
    <n v="5697.95"/>
    <x v="0"/>
    <s v="Completed"/>
  </r>
  <r>
    <x v="799"/>
    <x v="37"/>
    <d v="2024-10-17T00:00:00"/>
    <n v="7"/>
    <s v="CUST-8527"/>
    <s v="Isha Nair"/>
    <s v="Home Office"/>
    <x v="0"/>
    <x v="16"/>
    <s v="Gurugram"/>
    <x v="2"/>
    <s v="Accessories"/>
    <s v="Smart Accessories 487"/>
    <x v="4"/>
    <n v="5"/>
    <n v="967.41"/>
    <n v="0.05"/>
    <n v="4595.2"/>
    <n v="3887.41"/>
    <n v="707.79"/>
    <x v="0"/>
    <s v="Returned"/>
  </r>
  <r>
    <x v="800"/>
    <x v="176"/>
    <d v="2024-07-03T00:00:00"/>
    <n v="182"/>
    <s v="CUST-5015"/>
    <s v="Vikram Iyer"/>
    <s v="Small Business"/>
    <x v="3"/>
    <x v="3"/>
    <s v="Mumbai"/>
    <x v="0"/>
    <s v="Storage"/>
    <s v="Elite Storage 825"/>
    <x v="0"/>
    <n v="6"/>
    <n v="4163.72"/>
    <n v="0.15"/>
    <n v="21234.97"/>
    <n v="16736.09"/>
    <n v="4498.88"/>
    <x v="0"/>
    <s v="Completed"/>
  </r>
  <r>
    <x v="801"/>
    <x v="134"/>
    <d v="2025-10-15T00:00:00"/>
    <n v="66"/>
    <s v="CUST-3344"/>
    <s v="Aarav Sharma"/>
    <s v="Home Office"/>
    <x v="1"/>
    <x v="1"/>
    <s v="Bhubaneswar"/>
    <x v="2"/>
    <s v="Accessories"/>
    <s v="Pro Accessories 500"/>
    <x v="0"/>
    <n v="3"/>
    <n v="3372.21"/>
    <n v="0.2"/>
    <n v="8093.3"/>
    <n v="6052.43"/>
    <n v="2040.87"/>
    <x v="2"/>
    <s v="Cancelled"/>
  </r>
  <r>
    <x v="802"/>
    <x v="401"/>
    <d v="2025-02-16T00:00:00"/>
    <n v="0"/>
    <s v="CUST-5866"/>
    <s v="Rohan Mehta"/>
    <s v="Small Business"/>
    <x v="1"/>
    <x v="10"/>
    <s v="Guwahati"/>
    <x v="1"/>
    <s v="Furnishings"/>
    <s v="Pro Furnishings 909"/>
    <x v="0"/>
    <n v="6"/>
    <n v="1441.91"/>
    <n v="0"/>
    <n v="8651.4599999999991"/>
    <n v="5254.62"/>
    <n v="3396.84"/>
    <x v="3"/>
    <s v="Returned"/>
  </r>
  <r>
    <x v="803"/>
    <x v="159"/>
    <d v="2024-12-13T00:00:00"/>
    <n v="92"/>
    <s v="CUST-7180"/>
    <s v="Rohan Mehta"/>
    <s v="Consumer"/>
    <x v="4"/>
    <x v="15"/>
    <s v="Ranchi"/>
    <x v="0"/>
    <s v="Labels"/>
    <s v="Basic Labels 359"/>
    <x v="2"/>
    <n v="1"/>
    <n v="4306.6499999999996"/>
    <n v="0"/>
    <n v="4306.6499999999996"/>
    <n v="2568.8200000000002"/>
    <n v="1737.83"/>
    <x v="0"/>
    <s v="Completed"/>
  </r>
  <r>
    <x v="804"/>
    <x v="470"/>
    <d v="2025-09-18T00:00:00"/>
    <n v="-21"/>
    <s v="CUST-8745"/>
    <s v="Rahul Verma"/>
    <s v="Home Office"/>
    <x v="2"/>
    <x v="2"/>
    <s v="Hyderabad"/>
    <x v="1"/>
    <s v="Furnishings"/>
    <s v="Eco Furnishings 541"/>
    <x v="3"/>
    <n v="1"/>
    <n v="2050.62"/>
    <n v="0.05"/>
    <n v="1948.09"/>
    <n v="1507.08"/>
    <n v="441.01"/>
    <x v="0"/>
    <s v="Completed"/>
  </r>
  <r>
    <x v="805"/>
    <x v="202"/>
    <d v="2025-07-04T00:00:00"/>
    <n v="30"/>
    <s v="CUST-2098"/>
    <s v="Priya Menon"/>
    <s v="Home Office"/>
    <x v="1"/>
    <x v="10"/>
    <s v="Guwahati"/>
    <x v="0"/>
    <s v="Binders"/>
    <s v="Classic Binders 103"/>
    <x v="0"/>
    <n v="2"/>
    <n v="2030.06"/>
    <n v="0.25"/>
    <n v="3045.09"/>
    <n v="2601.09"/>
    <n v="444"/>
    <x v="0"/>
    <s v="Completed"/>
  </r>
  <r>
    <x v="806"/>
    <x v="352"/>
    <d v="2024-11-15T00:00:00"/>
    <n v="65"/>
    <s v="CUST-3704"/>
    <s v="Isha Nair"/>
    <s v="Home Office"/>
    <x v="0"/>
    <x v="0"/>
    <s v="Jaipur"/>
    <x v="2"/>
    <s v="Copiers"/>
    <s v="Max Copiers 560"/>
    <x v="3"/>
    <n v="1"/>
    <n v="3665.97"/>
    <n v="0.2"/>
    <n v="2932.78"/>
    <n v="1900.35"/>
    <n v="1032.43"/>
    <x v="3"/>
    <s v="Cancelled"/>
  </r>
  <r>
    <x v="807"/>
    <x v="195"/>
    <d v="2025-08-02T00:00:00"/>
    <n v="31"/>
    <s v="CUST-5884"/>
    <s v="Karan Malhotra"/>
    <s v="Small Business"/>
    <x v="2"/>
    <x v="2"/>
    <s v="Hyderabad"/>
    <x v="0"/>
    <s v="Labels"/>
    <s v="Smart Labels 436"/>
    <x v="3"/>
    <n v="2"/>
    <n v="2432.98"/>
    <n v="0.1"/>
    <n v="4379.3599999999997"/>
    <n v="3723.93"/>
    <n v="655.43"/>
    <x v="0"/>
    <s v="Completed"/>
  </r>
  <r>
    <x v="808"/>
    <x v="471"/>
    <d v="2025-08-28T00:00:00"/>
    <n v="-3"/>
    <s v="CUST-7503"/>
    <s v="Aarav Sharma"/>
    <s v="Small Business"/>
    <x v="2"/>
    <x v="17"/>
    <s v="Chennai"/>
    <x v="1"/>
    <s v="Furnishings"/>
    <s v="Pro Furnishings 386"/>
    <x v="2"/>
    <n v="7"/>
    <n v="977.28"/>
    <n v="0.2"/>
    <n v="5472.77"/>
    <n v="4477.33"/>
    <n v="995.44"/>
    <x v="0"/>
    <s v="Completed"/>
  </r>
  <r>
    <x v="809"/>
    <x v="203"/>
    <d v="2025-06-25T00:00:00"/>
    <n v="0"/>
    <s v="CUST-6973"/>
    <s v="Arjun Bose"/>
    <s v="Small Business"/>
    <x v="4"/>
    <x v="7"/>
    <s v="Ludhiana"/>
    <x v="0"/>
    <s v="Binders"/>
    <s v="Eco Binders 601"/>
    <x v="0"/>
    <n v="6"/>
    <n v="1366.13"/>
    <n v="0.1"/>
    <n v="7377.1"/>
    <n v="5085.21"/>
    <n v="2291.89"/>
    <x v="0"/>
    <s v="Completed"/>
  </r>
  <r>
    <x v="810"/>
    <x v="23"/>
    <d v="2024-08-04T00:00:00"/>
    <n v="123"/>
    <s v="CUST-4653"/>
    <s v="Kabir Singh"/>
    <s v="Home Office"/>
    <x v="3"/>
    <x v="12"/>
    <s v="Ahmedabad"/>
    <x v="2"/>
    <s v="Copiers"/>
    <s v="Pro Copiers 867"/>
    <x v="2"/>
    <n v="1"/>
    <n v="3151.85"/>
    <n v="0.25"/>
    <n v="2363.89"/>
    <n v="1471.51"/>
    <n v="892.38"/>
    <x v="0"/>
    <s v="Completed"/>
  </r>
  <r>
    <x v="811"/>
    <x v="472"/>
    <d v="2024-12-19T00:00:00"/>
    <n v="7"/>
    <s v="CUST-3303"/>
    <s v="Rohan Mehta"/>
    <s v="Home Office"/>
    <x v="0"/>
    <x v="16"/>
    <s v="Gurugram"/>
    <x v="2"/>
    <s v="Accessories"/>
    <s v="Eco Accessories 122"/>
    <x v="2"/>
    <n v="2"/>
    <n v="1610.75"/>
    <n v="0.2"/>
    <n v="2577.1999999999998"/>
    <n v="1475.87"/>
    <n v="1101.33"/>
    <x v="0"/>
    <s v="Completed"/>
  </r>
  <r>
    <x v="812"/>
    <x v="269"/>
    <d v="2024-06-20T00:00:00"/>
    <n v="5"/>
    <s v="CUST-5754"/>
    <s v="Sneha Kapoor"/>
    <s v="Small Business"/>
    <x v="1"/>
    <x v="15"/>
    <s v="Ranchi"/>
    <x v="1"/>
    <s v="Tables"/>
    <s v="Basic Tables 127"/>
    <x v="2"/>
    <n v="8"/>
    <n v="2228.4699999999998"/>
    <n v="0"/>
    <n v="17827.759999999998"/>
    <n v="14122.13"/>
    <n v="3705.63"/>
    <x v="0"/>
    <s v="Completed"/>
  </r>
  <r>
    <x v="813"/>
    <x v="189"/>
    <d v="2025-10-04T00:00:00"/>
    <n v="181"/>
    <s v="CUST-7848"/>
    <s v="Rohan Mehta"/>
    <s v="Consumer"/>
    <x v="1"/>
    <x v="1"/>
    <s v="Bhubaneswar"/>
    <x v="1"/>
    <s v="Bookcases"/>
    <s v="Elite Bookcases 988"/>
    <x v="3"/>
    <n v="2"/>
    <n v="1337.67"/>
    <n v="0"/>
    <n v="2675.34"/>
    <n v="1595.87"/>
    <n v="1079.47"/>
    <x v="0"/>
    <s v="Completed"/>
  </r>
  <r>
    <x v="814"/>
    <x v="213"/>
    <d v="2025-11-08T00:00:00"/>
    <n v="153"/>
    <s v="CUST-9048"/>
    <s v="Arjun Bose"/>
    <s v="Consumer"/>
    <x v="3"/>
    <x v="4"/>
    <s v="Indore"/>
    <x v="0"/>
    <s v="Labels"/>
    <s v="Smart Labels 126"/>
    <x v="2"/>
    <n v="2"/>
    <n v="2375.94"/>
    <n v="0.25"/>
    <n v="3563.91"/>
    <n v="2639.7"/>
    <n v="924.21"/>
    <x v="0"/>
    <s v="Completed"/>
  </r>
  <r>
    <x v="815"/>
    <x v="330"/>
    <d v="2024-08-04T00:00:00"/>
    <n v="125"/>
    <s v="CUST-2951"/>
    <s v="Diya Patel"/>
    <s v="Consumer"/>
    <x v="1"/>
    <x v="1"/>
    <s v="Bhubaneswar"/>
    <x v="2"/>
    <s v="Machines"/>
    <s v="Max Machines 569"/>
    <x v="3"/>
    <n v="7"/>
    <n v="715.81"/>
    <n v="0.15"/>
    <n v="4259.07"/>
    <n v="3130.32"/>
    <n v="1128.75"/>
    <x v="2"/>
    <s v="Cancelled"/>
  </r>
  <r>
    <x v="816"/>
    <x v="473"/>
    <d v="2024-11-30T00:00:00"/>
    <n v="3"/>
    <s v="CUST-3072"/>
    <s v="Rahul Verma"/>
    <s v="Small Business"/>
    <x v="1"/>
    <x v="15"/>
    <s v="Ranchi"/>
    <x v="1"/>
    <s v="Furnishings"/>
    <s v="Basic Furnishings 306"/>
    <x v="2"/>
    <n v="1"/>
    <n v="874.3"/>
    <n v="0.1"/>
    <n v="786.87"/>
    <n v="498.5"/>
    <n v="288.37"/>
    <x v="0"/>
    <s v="Completed"/>
  </r>
  <r>
    <x v="817"/>
    <x v="474"/>
    <d v="2025-04-05T00:00:00"/>
    <n v="-29"/>
    <s v="CUST-2221"/>
    <s v="Sneha Kapoor"/>
    <s v="Consumer"/>
    <x v="1"/>
    <x v="9"/>
    <s v="Patna"/>
    <x v="0"/>
    <s v="Binders"/>
    <s v="Classic Binders 873"/>
    <x v="3"/>
    <n v="6"/>
    <n v="1829.69"/>
    <n v="0.25"/>
    <n v="8233.6"/>
    <n v="4713.79"/>
    <n v="3519.81"/>
    <x v="0"/>
    <s v="Completed"/>
  </r>
  <r>
    <x v="818"/>
    <x v="406"/>
    <d v="2024-05-10T00:00:00"/>
    <n v="-142"/>
    <s v="CUST-3943"/>
    <s v="Priya Menon"/>
    <s v="Small Business"/>
    <x v="3"/>
    <x v="3"/>
    <s v="Mumbai"/>
    <x v="0"/>
    <s v="Labels"/>
    <s v="Pro Labels 611"/>
    <x v="2"/>
    <n v="8"/>
    <n v="1981.04"/>
    <n v="-0.14000000000000001"/>
    <n v="12678.66"/>
    <n v="10088.65"/>
    <n v="2590.0100000000002"/>
    <x v="0"/>
    <s v="Completed"/>
  </r>
  <r>
    <x v="819"/>
    <x v="241"/>
    <d v="2024-07-31T00:00:00"/>
    <n v="0"/>
    <s v="CUST-7510"/>
    <s v="Karan Malhotra"/>
    <s v="Home Office"/>
    <x v="2"/>
    <x v="13"/>
    <s v="Kochi"/>
    <x v="2"/>
    <s v="Machines"/>
    <s v="Prime Machines 524"/>
    <x v="3"/>
    <n v="8"/>
    <n v="4246.01"/>
    <n v="0"/>
    <n v="33968.080000000002"/>
    <n v="26902.44"/>
    <n v="7065.64"/>
    <x v="3"/>
    <s v="Cancelled"/>
  </r>
  <r>
    <x v="820"/>
    <x v="454"/>
    <d v="2025-10-02T00:00:00"/>
    <n v="122"/>
    <s v="CUST-2041"/>
    <s v="Ananya Rao"/>
    <s v="Home Office"/>
    <x v="0"/>
    <x v="8"/>
    <s v="Noida"/>
    <x v="1"/>
    <s v="Bookcases"/>
    <s v="Classic Bookcases 882"/>
    <x v="3"/>
    <n v="2"/>
    <n v="319.57"/>
    <n v="0.2"/>
    <n v="511.31"/>
    <n v="436.43"/>
    <n v="74.88"/>
    <x v="0"/>
    <s v="Completed"/>
  </r>
  <r>
    <x v="821"/>
    <x v="232"/>
    <d v="2024-06-07T00:00:00"/>
    <n v="92"/>
    <s v="CUST-4466"/>
    <s v="Aarav Sharma"/>
    <s v="Corporate"/>
    <x v="2"/>
    <x v="11"/>
    <s v="Bengaluru"/>
    <x v="2"/>
    <s v="Accessories"/>
    <s v="Classic Accessories 471"/>
    <x v="2"/>
    <n v="7"/>
    <n v="1942.49"/>
    <n v="0.2"/>
    <n v="10877.94"/>
    <n v="9110.14"/>
    <n v="1767.8"/>
    <x v="0"/>
    <s v="Completed"/>
  </r>
  <r>
    <x v="822"/>
    <x v="475"/>
    <d v="2024-08-10T00:00:00"/>
    <n v="-63"/>
    <s v="CUST-3188"/>
    <s v="Mira Das"/>
    <s v="Corporate"/>
    <x v="1"/>
    <x v="10"/>
    <s v="Guwahati"/>
    <x v="1"/>
    <s v="Furnishings"/>
    <s v="Smart Furnishings 175"/>
    <x v="0"/>
    <n v="4"/>
    <n v="3202.04"/>
    <n v="0.2"/>
    <n v="10246.530000000001"/>
    <n v="8634.42"/>
    <n v="1612.11"/>
    <x v="2"/>
    <s v="Returned"/>
  </r>
  <r>
    <x v="823"/>
    <x v="476"/>
    <d v="2025-12-01T00:00:00"/>
    <n v="183"/>
    <s v="CUST-6638"/>
    <s v="Mira Das"/>
    <s v="Home Office"/>
    <x v="3"/>
    <x v="14"/>
    <s v="Panaji"/>
    <x v="0"/>
    <s v="Paper"/>
    <s v="Basic Paper 899"/>
    <x v="1"/>
    <n v="3"/>
    <n v="668.33"/>
    <n v="0.15"/>
    <n v="1704.24"/>
    <n v="957.55"/>
    <n v="746.69"/>
    <x v="0"/>
    <s v="Completed"/>
  </r>
  <r>
    <x v="824"/>
    <x v="268"/>
    <d v="2025-03-22T00:00:00"/>
    <n v="1"/>
    <s v="CUST-3540"/>
    <s v="Priya Menon"/>
    <s v="Consumer"/>
    <x v="3"/>
    <x v="14"/>
    <s v="Panaji"/>
    <x v="0"/>
    <s v="Paper"/>
    <s v="Pro Paper 267"/>
    <x v="2"/>
    <n v="8"/>
    <n v="4436.74"/>
    <n v="0.05"/>
    <n v="33719.22"/>
    <n v="28924.43"/>
    <n v="4794.79"/>
    <x v="0"/>
    <s v="Completed"/>
  </r>
  <r>
    <x v="825"/>
    <x v="67"/>
    <d v="2025-04-17T00:00:00"/>
    <n v="1"/>
    <s v="CUST-3351"/>
    <s v="Vikram Iyer"/>
    <s v="Small Business"/>
    <x v="0"/>
    <x v="8"/>
    <s v="Noida"/>
    <x v="2"/>
    <s v="Machines"/>
    <s v="Basic Machines 832"/>
    <x v="2"/>
    <n v="1"/>
    <n v="2720.17"/>
    <n v="0"/>
    <n v="2720.17"/>
    <n v="1834.23"/>
    <n v="885.94"/>
    <x v="0"/>
    <s v="Completed"/>
  </r>
  <r>
    <x v="826"/>
    <x v="281"/>
    <d v="2025-08-14T00:00:00"/>
    <n v="-55"/>
    <s v="CUST-4375"/>
    <s v="Aditi Sen"/>
    <s v="Consumer"/>
    <x v="3"/>
    <x v="0"/>
    <s v="Udaipur"/>
    <x v="2"/>
    <s v="Accessories"/>
    <s v="Elite Accessories 790"/>
    <x v="3"/>
    <n v="5"/>
    <n v="2190.14"/>
    <n v="0.25"/>
    <n v="8213.02"/>
    <n v="5569.3"/>
    <n v="2643.72"/>
    <x v="0"/>
    <s v="Completed"/>
  </r>
  <r>
    <x v="827"/>
    <x v="433"/>
    <d v="2024-01-12T00:00:00"/>
    <n v="-317"/>
    <s v="CUST-5125"/>
    <s v="Priya Menon"/>
    <s v="Home Office"/>
    <x v="2"/>
    <x v="17"/>
    <s v="Chennai"/>
    <x v="0"/>
    <s v="Paper"/>
    <s v="Basic Paper 707"/>
    <x v="1"/>
    <n v="1"/>
    <n v="844.89"/>
    <n v="0.25"/>
    <n v="633.66999999999996"/>
    <n v="520.47"/>
    <n v="113.2"/>
    <x v="0"/>
    <s v="Cancelled"/>
  </r>
  <r>
    <x v="828"/>
    <x v="39"/>
    <d v="2025-11-10T00:00:00"/>
    <n v="31"/>
    <s v="CUST-6010"/>
    <s v="Karan Malhotra"/>
    <s v="Corporate"/>
    <x v="1"/>
    <x v="1"/>
    <s v="Bhubaneswar"/>
    <x v="1"/>
    <s v="Chairs"/>
    <s v="Elite Chairs 979"/>
    <x v="0"/>
    <n v="7"/>
    <n v="3791.96"/>
    <n v="0.05"/>
    <n v="25216.53"/>
    <n v="14216.94"/>
    <n v="10999.59"/>
    <x v="3"/>
    <s v="Cancelled"/>
  </r>
  <r>
    <x v="829"/>
    <x v="372"/>
    <d v="2024-02-28T00:00:00"/>
    <n v="2"/>
    <s v="CUST-9036"/>
    <s v="Aditi Sen"/>
    <s v="Small Business"/>
    <x v="3"/>
    <x v="14"/>
    <s v="Panaji"/>
    <x v="1"/>
    <s v="Furnishings"/>
    <s v="Pro Furnishings 192"/>
    <x v="0"/>
    <n v="7"/>
    <n v="1035.1400000000001"/>
    <n v="0.1"/>
    <n v="6521.38"/>
    <n v="4511.1000000000004"/>
    <n v="2010.28"/>
    <x v="0"/>
    <s v="Completed"/>
  </r>
  <r>
    <x v="830"/>
    <x v="18"/>
    <d v="2025-07-18T00:00:00"/>
    <n v="3"/>
    <s v="CUST-7929"/>
    <s v="Aditi Sen"/>
    <s v="Small Business"/>
    <x v="4"/>
    <x v="17"/>
    <s v="Chennai"/>
    <x v="2"/>
    <s v="Machines"/>
    <s v="Smart Machines 951"/>
    <x v="2"/>
    <n v="6"/>
    <n v="2382.88"/>
    <n v="0.1"/>
    <n v="12867.55"/>
    <n v="10068.94"/>
    <n v="2798.61"/>
    <x v="0"/>
    <s v="Completed"/>
  </r>
  <r>
    <x v="831"/>
    <x v="279"/>
    <d v="2025-03-04T00:00:00"/>
    <n v="-30"/>
    <s v="CUST-1106"/>
    <s v="Diya Patel"/>
    <s v="Home Office"/>
    <x v="4"/>
    <x v="16"/>
    <s v="Gurugram"/>
    <x v="1"/>
    <s v="Chairs"/>
    <s v="Smart Chairs 794"/>
    <x v="2"/>
    <n v="9"/>
    <n v="3462.7"/>
    <n v="0.15"/>
    <n v="26489.65"/>
    <n v="15818.46"/>
    <n v="10671.19"/>
    <x v="3"/>
    <s v="Returned"/>
  </r>
  <r>
    <x v="832"/>
    <x v="212"/>
    <d v="2025-05-28T00:00:00"/>
    <n v="2"/>
    <s v="CUST-9557"/>
    <s v="Kabir Singh"/>
    <s v="Small Business"/>
    <x v="2"/>
    <x v="5"/>
    <s v="Vijayawada"/>
    <x v="2"/>
    <s v="Phones"/>
    <s v="Max Phones 919"/>
    <x v="0"/>
    <n v="9"/>
    <n v="4302.0200000000004"/>
    <n v="0.05"/>
    <n v="36782.269999999997"/>
    <n v="25902.81"/>
    <n v="10879.46"/>
    <x v="0"/>
    <s v="Completed"/>
  </r>
  <r>
    <x v="833"/>
    <x v="477"/>
    <d v="2024-06-04T00:00:00"/>
    <n v="59"/>
    <s v="CUST-2689"/>
    <s v="Rahul Verma"/>
    <s v="Home Office"/>
    <x v="1"/>
    <x v="6"/>
    <s v="Kolkata"/>
    <x v="1"/>
    <s v="Bookcases"/>
    <s v="Basic Bookcases 499"/>
    <x v="2"/>
    <n v="6"/>
    <n v="3949.4"/>
    <n v="0"/>
    <n v="23696.400000000001"/>
    <n v="18109.77"/>
    <n v="5586.63"/>
    <x v="0"/>
    <s v="Completed"/>
  </r>
  <r>
    <x v="834"/>
    <x v="101"/>
    <d v="2024-10-22T00:00:00"/>
    <n v="4"/>
    <s v="CUST-2879"/>
    <s v="Aarav Sharma"/>
    <s v="Home Office"/>
    <x v="2"/>
    <x v="2"/>
    <s v="Hyderabad"/>
    <x v="0"/>
    <s v="Art"/>
    <s v="Basic Art 143"/>
    <x v="2"/>
    <n v="6"/>
    <n v="674.61"/>
    <n v="0"/>
    <n v="4047.66"/>
    <n v="3078.93"/>
    <n v="1279.79"/>
    <x v="0"/>
    <s v="Completed"/>
  </r>
  <r>
    <x v="835"/>
    <x v="299"/>
    <d v="2025-04-10T00:00:00"/>
    <n v="-169"/>
    <s v="CUST-5150"/>
    <s v="Priya Menon"/>
    <s v="Small Business"/>
    <x v="1"/>
    <x v="10"/>
    <s v="Guwahati"/>
    <x v="2"/>
    <s v="Phones"/>
    <s v="Prime Phones 338"/>
    <x v="0"/>
    <n v="7"/>
    <n v="1509.59"/>
    <n v="0.05"/>
    <n v="10038.77"/>
    <n v="5673.1"/>
    <n v="4365.67"/>
    <x v="0"/>
    <s v="Completed"/>
  </r>
  <r>
    <x v="836"/>
    <x v="353"/>
    <d v="2024-12-18T00:00:00"/>
    <n v="3"/>
    <s v="CUST-9776"/>
    <s v="Isha Nair"/>
    <s v="Small Business"/>
    <x v="0"/>
    <x v="0"/>
    <s v="Jaipur"/>
    <x v="0"/>
    <s v="Labels"/>
    <s v="Smart Labels 814"/>
    <x v="0"/>
    <n v="2"/>
    <n v="537.11"/>
    <n v="0"/>
    <n v="1074.22"/>
    <n v="850.86"/>
    <n v="223.36"/>
    <x v="0"/>
    <s v="Completed"/>
  </r>
  <r>
    <x v="837"/>
    <x v="74"/>
    <d v="2025-09-28T00:00:00"/>
    <n v="1"/>
    <s v="CUST-2551"/>
    <s v="Karan Malhotra"/>
    <s v="Home Office"/>
    <x v="3"/>
    <x v="3"/>
    <s v="Mumbai"/>
    <x v="0"/>
    <s v="Paper"/>
    <s v="Prime Paper 812"/>
    <x v="2"/>
    <n v="3"/>
    <n v="4177.63"/>
    <n v="0.25"/>
    <n v="9399.67"/>
    <n v="6540.37"/>
    <n v="2859.3"/>
    <x v="0"/>
    <s v="Completed"/>
  </r>
  <r>
    <x v="838"/>
    <x v="279"/>
    <d v="2025-07-04T00:00:00"/>
    <n v="92"/>
    <s v="CUST-4708"/>
    <s v="Ananya Rao"/>
    <s v="Small Business"/>
    <x v="3"/>
    <x v="14"/>
    <s v="Panaji"/>
    <x v="0"/>
    <s v="Paper"/>
    <s v="Pro Paper 355"/>
    <x v="1"/>
    <n v="1"/>
    <n v="1470.57"/>
    <n v="0"/>
    <n v="1470.57"/>
    <n v="834.02"/>
    <n v="636.54999999999995"/>
    <x v="0"/>
    <s v="Returned"/>
  </r>
  <r>
    <x v="839"/>
    <x v="478"/>
    <d v="2024-09-22T00:00:00"/>
    <n v="2"/>
    <s v="CUST-8206"/>
    <s v="Rohan Mehta"/>
    <s v="Home Office"/>
    <x v="1"/>
    <x v="1"/>
    <s v="Bhubaneswar"/>
    <x v="2"/>
    <s v="Phones"/>
    <s v="Basic Phones 398"/>
    <x v="3"/>
    <n v="8"/>
    <n v="531.42999999999995"/>
    <n v="0.1"/>
    <n v="3826.3"/>
    <n v="2194.12"/>
    <n v="1632.18"/>
    <x v="0"/>
    <s v="Completed"/>
  </r>
  <r>
    <x v="840"/>
    <x v="278"/>
    <d v="2025-09-19T00:00:00"/>
    <n v="0"/>
    <s v="CUST-1297"/>
    <s v="Neha Gupta"/>
    <s v="Home Office"/>
    <x v="0"/>
    <x v="18"/>
    <s v="New Delhi"/>
    <x v="1"/>
    <s v="Chairs"/>
    <s v="Classic Chairs 204"/>
    <x v="1"/>
    <n v="4"/>
    <n v="1584.11"/>
    <n v="0"/>
    <n v="6336.44"/>
    <n v="4680.68"/>
    <n v="1655.76"/>
    <x v="0"/>
    <s v="Completed"/>
  </r>
  <r>
    <x v="841"/>
    <x v="454"/>
    <d v="2025-12-02T00:00:00"/>
    <n v="183"/>
    <s v="CUST-7558"/>
    <s v="Ananya Rao"/>
    <s v="Small Business"/>
    <x v="1"/>
    <x v="9"/>
    <s v="Patna"/>
    <x v="0"/>
    <s v="Art"/>
    <s v="Max Art 339"/>
    <x v="3"/>
    <n v="9"/>
    <n v="3237.16"/>
    <n v="0.25"/>
    <n v="21850.83"/>
    <n v="16600.13"/>
    <n v="5250.7"/>
    <x v="0"/>
    <s v="Completed"/>
  </r>
  <r>
    <x v="842"/>
    <x v="355"/>
    <d v="2024-03-30T00:00:00"/>
    <n v="-1"/>
    <s v="CUST-1798"/>
    <s v="Kabir Singh"/>
    <s v="Consumer"/>
    <x v="0"/>
    <x v="16"/>
    <s v="Gurugram"/>
    <x v="2"/>
    <s v="Machines"/>
    <s v="Smart Machines 581"/>
    <x v="2"/>
    <n v="4"/>
    <n v="2192.08"/>
    <n v="0.15"/>
    <n v="7453.07"/>
    <n v="5133.78"/>
    <n v="2319.29"/>
    <x v="0"/>
    <s v="Returned"/>
  </r>
  <r>
    <x v="843"/>
    <x v="363"/>
    <d v="2025-07-25T00:00:00"/>
    <n v="7"/>
    <s v="CUST-7333"/>
    <s v="Priya Menon"/>
    <s v="Small Business"/>
    <x v="0"/>
    <x v="8"/>
    <s v="Noida"/>
    <x v="2"/>
    <s v="Phones"/>
    <s v="Prime Phones 482"/>
    <x v="2"/>
    <n v="9"/>
    <n v="3989.52"/>
    <n v="-0.02"/>
    <n v="35905.68"/>
    <n v="23916.1"/>
    <n v="11989.58"/>
    <x v="0"/>
    <s v="Completed"/>
  </r>
  <r>
    <x v="844"/>
    <x v="141"/>
    <d v="2025-01-25T00:00:00"/>
    <n v="5"/>
    <s v="CUST-2086"/>
    <s v="Aditi Sen"/>
    <s v="Home Office"/>
    <x v="3"/>
    <x v="14"/>
    <s v="Panaji"/>
    <x v="0"/>
    <s v="Art"/>
    <s v="Pro Art 588"/>
    <x v="2"/>
    <n v="1"/>
    <n v="3515.15"/>
    <n v="0"/>
    <n v="3515.15"/>
    <n v="2216.34"/>
    <n v="1298.81"/>
    <x v="0"/>
    <s v="Completed"/>
  </r>
  <r>
    <x v="845"/>
    <x v="339"/>
    <d v="2024-02-27T00:00:00"/>
    <n v="4"/>
    <s v="CUST-2367"/>
    <s v="Karan Malhotra"/>
    <s v="Consumer"/>
    <x v="1"/>
    <x v="1"/>
    <s v="Bhubaneswar"/>
    <x v="1"/>
    <s v="Tables"/>
    <s v="Eco Tables 792"/>
    <x v="2"/>
    <n v="9"/>
    <n v="3616.23"/>
    <n v="0.25"/>
    <n v="24409.55"/>
    <n v="17157.580000000002"/>
    <n v="7251.97"/>
    <x v="2"/>
    <s v="Returned"/>
  </r>
  <r>
    <x v="846"/>
    <x v="462"/>
    <d v="2024-04-22T00:00:00"/>
    <n v="8"/>
    <s v="CUST-6522"/>
    <s v="Priya Menon"/>
    <s v="Small Business"/>
    <x v="3"/>
    <x v="12"/>
    <s v="Ahmedabad"/>
    <x v="1"/>
    <s v="Bookcases"/>
    <s v="Prime Bookcases 177"/>
    <x v="3"/>
    <n v="2"/>
    <n v="3977.52"/>
    <n v="0"/>
    <n v="7955.04"/>
    <n v="5580.68"/>
    <n v="2374.36"/>
    <x v="2"/>
    <s v="Returned"/>
  </r>
  <r>
    <x v="847"/>
    <x v="10"/>
    <d v="2025-05-22T00:00:00"/>
    <n v="2"/>
    <s v="CUST-8329"/>
    <s v="Diya Patel"/>
    <s v="Home Office"/>
    <x v="1"/>
    <x v="1"/>
    <s v="Bhubaneswar"/>
    <x v="1"/>
    <s v="Tables"/>
    <s v="Pro Tables 828"/>
    <x v="0"/>
    <n v="2"/>
    <n v="210.08"/>
    <n v="0.2"/>
    <n v="336.13"/>
    <n v="242.19"/>
    <n v="93.94"/>
    <x v="0"/>
    <s v="Completed"/>
  </r>
  <r>
    <x v="848"/>
    <x v="254"/>
    <d v="2025-05-29T00:00:00"/>
    <n v="2"/>
    <s v="CUST-4426"/>
    <s v="Rahul Verma"/>
    <s v="Home Office"/>
    <x v="2"/>
    <x v="17"/>
    <s v="Chennai"/>
    <x v="1"/>
    <s v="Furnishings"/>
    <s v="Elite Furnishings 480"/>
    <x v="0"/>
    <n v="1"/>
    <n v="1744.35"/>
    <n v="0.25"/>
    <n v="1308.26"/>
    <n v="1083.56"/>
    <n v="224.7"/>
    <x v="0"/>
    <s v="Completed"/>
  </r>
  <r>
    <x v="849"/>
    <x v="479"/>
    <d v="2024-12-03T00:00:00"/>
    <n v="183"/>
    <s v="CUST-3360"/>
    <s v="Isha Nair"/>
    <s v="Home Office"/>
    <x v="3"/>
    <x v="12"/>
    <s v="Ahmedabad"/>
    <x v="1"/>
    <s v="Bookcases"/>
    <s v="Prime Bookcases 755"/>
    <x v="3"/>
    <n v="3"/>
    <n v="679.63"/>
    <n v="0.2"/>
    <n v="1631.11"/>
    <n v="898.73"/>
    <n v="396.58"/>
    <x v="0"/>
    <s v="Completed"/>
  </r>
  <r>
    <x v="850"/>
    <x v="303"/>
    <d v="2024-03-07T00:00:00"/>
    <n v="-115"/>
    <s v="CUST-2623"/>
    <s v="Priya Menon"/>
    <s v="Home Office"/>
    <x v="1"/>
    <x v="6"/>
    <s v="Kolkata"/>
    <x v="0"/>
    <s v="Paper"/>
    <s v="Prime Paper 317"/>
    <x v="2"/>
    <n v="6"/>
    <n v="1211.01"/>
    <n v="0"/>
    <n v="7266.06"/>
    <n v="6216.89"/>
    <n v="1049.17"/>
    <x v="0"/>
    <s v="Completed"/>
  </r>
  <r>
    <x v="851"/>
    <x v="480"/>
    <d v="2024-01-04T00:00:00"/>
    <n v="-82"/>
    <s v="CUST-3175"/>
    <s v="Karan Malhotra"/>
    <s v="Small Business"/>
    <x v="3"/>
    <x v="12"/>
    <s v="Ahmedabad"/>
    <x v="2"/>
    <s v="Accessories"/>
    <s v="Classic Accessories 933"/>
    <x v="2"/>
    <n v="2"/>
    <n v="1161.3"/>
    <n v="0.2"/>
    <n v="1858.08"/>
    <n v="1590.75"/>
    <n v="267.33"/>
    <x v="0"/>
    <s v="Completed"/>
  </r>
  <r>
    <x v="852"/>
    <x v="481"/>
    <d v="2024-08-04T00:00:00"/>
    <n v="213"/>
    <s v="CUST-9630"/>
    <s v="Ananya Rao"/>
    <s v="Consumer"/>
    <x v="1"/>
    <x v="10"/>
    <s v="Guwahati"/>
    <x v="1"/>
    <s v="Tables"/>
    <s v="Smart Tables 513"/>
    <x v="0"/>
    <n v="7"/>
    <n v="4205.3500000000004"/>
    <n v="0.15"/>
    <n v="25021.83"/>
    <n v="15544.44"/>
    <n v="9477.39"/>
    <x v="2"/>
    <s v="Cancelled"/>
  </r>
  <r>
    <x v="853"/>
    <x v="482"/>
    <d v="2025-05-22T00:00:00"/>
    <n v="6"/>
    <s v="CUST-8274"/>
    <s v="Arjun Bose"/>
    <s v="Corporate"/>
    <x v="2"/>
    <x v="17"/>
    <s v="Chennai"/>
    <x v="2"/>
    <s v="Accessories"/>
    <s v="Elite Accessories 708"/>
    <x v="1"/>
    <n v="8"/>
    <n v="579.79999999999995"/>
    <n v="0.2"/>
    <n v="3710.72"/>
    <n v="3115.29"/>
    <n v="595.42999999999995"/>
    <x v="0"/>
    <s v="Completed"/>
  </r>
  <r>
    <x v="854"/>
    <x v="361"/>
    <d v="2025-04-02T00:00:00"/>
    <n v="8"/>
    <s v="CUST-2514"/>
    <s v="Priya Menon"/>
    <s v="Consumer"/>
    <x v="2"/>
    <x v="11"/>
    <s v="Bengaluru"/>
    <x v="1"/>
    <s v="Bookcases"/>
    <s v="Max Bookcases 381"/>
    <x v="0"/>
    <n v="4"/>
    <n v="2233.64"/>
    <n v="0.05"/>
    <n v="8487.83"/>
    <n v="5245.72"/>
    <n v="3242.11"/>
    <x v="0"/>
    <s v="Completed"/>
  </r>
  <r>
    <x v="855"/>
    <x v="198"/>
    <d v="2024-02-08T00:00:00"/>
    <n v="-168"/>
    <s v="CUST-2752"/>
    <s v="Rahul Verma"/>
    <s v="Consumer"/>
    <x v="0"/>
    <x v="0"/>
    <s v="Jaipur"/>
    <x v="0"/>
    <s v="Labels"/>
    <s v="Classic Labels 215"/>
    <x v="0"/>
    <n v="2"/>
    <n v="2073.5300000000002"/>
    <n v="0.25"/>
    <n v="3110.3"/>
    <n v="2101.0300000000002"/>
    <n v="1009.27"/>
    <x v="0"/>
    <s v="Completed"/>
  </r>
  <r>
    <x v="856"/>
    <x v="109"/>
    <d v="2024-06-19T00:00:00"/>
    <n v="-170"/>
    <s v="CUST-5647"/>
    <s v="Rohan Mehta"/>
    <s v="Home Office"/>
    <x v="2"/>
    <x v="17"/>
    <s v="Chennai"/>
    <x v="0"/>
    <s v="Storage"/>
    <s v="Classic Storage 918"/>
    <x v="3"/>
    <n v="4"/>
    <n v="395.1"/>
    <n v="-0.16"/>
    <n v="1185.3"/>
    <n v="966.55"/>
    <n v="218.75"/>
    <x v="3"/>
    <s v="Cancelled"/>
  </r>
  <r>
    <x v="857"/>
    <x v="477"/>
    <d v="2024-04-06T00:00:00"/>
    <n v="0"/>
    <s v="CUST-8575"/>
    <s v="Sneha Kapoor"/>
    <s v="Home Office"/>
    <x v="2"/>
    <x v="13"/>
    <s v="Kochi"/>
    <x v="0"/>
    <s v="Storage"/>
    <s v="Max Storage 223"/>
    <x v="2"/>
    <n v="6"/>
    <n v="2708.97"/>
    <n v="0.25"/>
    <n v="12190.36"/>
    <n v="10176.99"/>
    <n v="2013.37"/>
    <x v="0"/>
    <s v="Completed"/>
  </r>
  <r>
    <x v="858"/>
    <x v="416"/>
    <d v="2024-09-05T00:00:00"/>
    <n v="126"/>
    <s v="CUST-9576"/>
    <s v="Arjun Bose"/>
    <s v="Consumer"/>
    <x v="1"/>
    <x v="1"/>
    <s v="Bhubaneswar"/>
    <x v="2"/>
    <s v="Accessories"/>
    <s v="Basic Accessories 602"/>
    <x v="0"/>
    <n v="4"/>
    <n v="2904.86"/>
    <n v="0"/>
    <n v="11619.44"/>
    <n v="7184.32"/>
    <n v="4494.6400000000003"/>
    <x v="0"/>
    <s v="Completed"/>
  </r>
  <r>
    <x v="859"/>
    <x v="455"/>
    <d v="2024-01-11T00:00:00"/>
    <n v="-290"/>
    <s v="CUST-2395"/>
    <s v="Aditi Sen"/>
    <s v="Corporate"/>
    <x v="2"/>
    <x v="17"/>
    <s v="Chennai"/>
    <x v="2"/>
    <s v="Phones"/>
    <s v="Elite Phones 394"/>
    <x v="3"/>
    <n v="6"/>
    <n v="4399.2"/>
    <n v="0.05"/>
    <n v="25075.439999999999"/>
    <n v="16282.74"/>
    <n v="8792.7000000000007"/>
    <x v="0"/>
    <s v="Completed"/>
  </r>
  <r>
    <x v="860"/>
    <x v="465"/>
    <d v="2024-04-02T00:00:00"/>
    <n v="60"/>
    <s v="CUST-8941"/>
    <s v="Vikram Iyer"/>
    <s v="Home Office"/>
    <x v="0"/>
    <x v="8"/>
    <s v="Noida"/>
    <x v="0"/>
    <s v="Storage"/>
    <s v="Classic Storage 194"/>
    <x v="0"/>
    <n v="1"/>
    <n v="4397.32"/>
    <n v="0.05"/>
    <n v="4177.45"/>
    <n v="2299.5"/>
    <n v="1877.95"/>
    <x v="0"/>
    <s v="Completed"/>
  </r>
  <r>
    <x v="861"/>
    <x v="483"/>
    <d v="2025-09-03T00:00:00"/>
    <n v="31"/>
    <s v="CUST-9448"/>
    <s v="Priya Menon"/>
    <s v="Home Office"/>
    <x v="0"/>
    <x v="18"/>
    <s v="New Delhi"/>
    <x v="1"/>
    <s v="Furnishings"/>
    <s v="Smart Furnishings 892"/>
    <x v="1"/>
    <n v="4"/>
    <n v="3405.68"/>
    <n v="0.2"/>
    <n v="10898.18"/>
    <n v="6231.41"/>
    <n v="4666.7700000000004"/>
    <x v="0"/>
    <s v="Completed"/>
  </r>
  <r>
    <x v="862"/>
    <x v="484"/>
    <d v="2025-03-31T00:00:00"/>
    <n v="5"/>
    <s v="CUST-8354"/>
    <s v="Priya Menon"/>
    <s v="Small Business"/>
    <x v="1"/>
    <x v="15"/>
    <s v="Ranchi"/>
    <x v="0"/>
    <s v="Binders"/>
    <s v="Pro Binders 488"/>
    <x v="2"/>
    <n v="5"/>
    <n v="1395.14"/>
    <n v="0"/>
    <n v="6975.7"/>
    <n v="4797.88"/>
    <n v="2177.8200000000002"/>
    <x v="0"/>
    <s v="Cancelled"/>
  </r>
  <r>
    <x v="863"/>
    <x v="289"/>
    <d v="2025-09-08T00:00:00"/>
    <n v="2"/>
    <s v="CUST-2200"/>
    <s v="Aarav Sharma"/>
    <s v="Home Office"/>
    <x v="3"/>
    <x v="4"/>
    <s v="Indore"/>
    <x v="1"/>
    <s v="Furnishings"/>
    <s v="Prime Furnishings 679"/>
    <x v="1"/>
    <n v="3"/>
    <n v="2937.23"/>
    <n v="0"/>
    <n v="8811.69"/>
    <n v="6765.91"/>
    <n v="2045.78"/>
    <x v="0"/>
    <s v="Completed"/>
  </r>
  <r>
    <x v="864"/>
    <x v="485"/>
    <d v="2025-05-09T00:00:00"/>
    <n v="89"/>
    <s v="CUST-1178"/>
    <s v="Vikram Iyer"/>
    <s v="Consumer"/>
    <x v="2"/>
    <x v="17"/>
    <s v="Chennai"/>
    <x v="2"/>
    <s v="Phones"/>
    <s v="Smart Phones 158"/>
    <x v="2"/>
    <n v="5"/>
    <n v="3406.87"/>
    <n v="0"/>
    <n v="17034.349999999999"/>
    <n v="14631.36"/>
    <n v="2402.9899999999998"/>
    <x v="0"/>
    <s v="Completed"/>
  </r>
  <r>
    <x v="865"/>
    <x v="454"/>
    <d v="2025-02-14T00:00:00"/>
    <n v="-108"/>
    <s v="CUST-8099"/>
    <s v="Kabir Singh"/>
    <s v="Consumer"/>
    <x v="3"/>
    <x v="3"/>
    <s v="Mumbai"/>
    <x v="0"/>
    <s v="Labels"/>
    <s v="Classic Labels 218"/>
    <x v="0"/>
    <n v="2"/>
    <n v="3992.04"/>
    <n v="0"/>
    <n v="7984.08"/>
    <n v="5658.05"/>
    <n v="2326.0300000000002"/>
    <x v="0"/>
    <s v="Completed"/>
  </r>
  <r>
    <x v="866"/>
    <x v="178"/>
    <d v="2025-06-03T00:00:00"/>
    <n v="97"/>
    <s v="CUST-7596"/>
    <s v="Priya Menon"/>
    <s v="Consumer"/>
    <x v="1"/>
    <x v="9"/>
    <s v="Patna"/>
    <x v="1"/>
    <s v="Bookcases"/>
    <s v="Smart Bookcases 552"/>
    <x v="2"/>
    <n v="9"/>
    <n v="3043.37"/>
    <n v="0.2"/>
    <n v="21912.26"/>
    <n v="16367.78"/>
    <n v="5544.48"/>
    <x v="2"/>
    <s v="Cancelled"/>
  </r>
  <r>
    <x v="867"/>
    <x v="429"/>
    <d v="2024-11-22T00:00:00"/>
    <n v="1"/>
    <s v="CUST-2328"/>
    <s v="Rahul Verma"/>
    <s v="Home Office"/>
    <x v="2"/>
    <x v="5"/>
    <s v="Vijayawada"/>
    <x v="2"/>
    <s v="Accessories"/>
    <s v="Eco Accessories 389"/>
    <x v="1"/>
    <n v="6"/>
    <n v="1043.49"/>
    <n v="0.25"/>
    <n v="4695.7"/>
    <n v="3871.69"/>
    <n v="824.01"/>
    <x v="3"/>
    <s v="Cancelled"/>
  </r>
  <r>
    <x v="868"/>
    <x v="124"/>
    <d v="2025-04-15T00:00:00"/>
    <n v="-203"/>
    <s v="CUST-8483"/>
    <s v="Vikram Iyer"/>
    <s v="Home Office"/>
    <x v="2"/>
    <x v="11"/>
    <s v="Bengaluru"/>
    <x v="0"/>
    <s v="Storage"/>
    <s v="Elite Storage 187"/>
    <x v="1"/>
    <n v="9"/>
    <n v="224.94"/>
    <n v="0.05"/>
    <n v="1923.24"/>
    <n v="1093.6600000000001"/>
    <n v="829.58"/>
    <x v="0"/>
    <s v="Completed"/>
  </r>
  <r>
    <x v="869"/>
    <x v="486"/>
    <d v="2025-07-03T00:00:00"/>
    <n v="119"/>
    <s v="CUST-2388"/>
    <s v="Rohan Mehta"/>
    <s v="Home Office"/>
    <x v="4"/>
    <x v="18"/>
    <s v="New Delhi"/>
    <x v="1"/>
    <s v="Chairs"/>
    <s v="Max Chairs 487"/>
    <x v="1"/>
    <n v="6"/>
    <n v="796.65"/>
    <n v="0.1"/>
    <n v="4301.91"/>
    <n v="2374.4"/>
    <n v="1927.51"/>
    <x v="0"/>
    <s v="Completed"/>
  </r>
  <r>
    <x v="870"/>
    <x v="291"/>
    <d v="2025-07-06T00:00:00"/>
    <n v="30"/>
    <s v="CUST-7054"/>
    <s v="Vikram Iyer"/>
    <s v="Corporate"/>
    <x v="3"/>
    <x v="14"/>
    <s v="Panaji"/>
    <x v="1"/>
    <s v="Tables"/>
    <s v="Max Tables 281"/>
    <x v="3"/>
    <n v="9"/>
    <n v="2932.92"/>
    <n v="0.15"/>
    <n v="22436.84"/>
    <n v="17454.669999999998"/>
    <n v="4982.17"/>
    <x v="0"/>
    <s v="Cancelled"/>
  </r>
  <r>
    <x v="871"/>
    <x v="97"/>
    <d v="2024-02-22T00:00:00"/>
    <n v="2"/>
    <s v="CUST-4375"/>
    <s v="Neha Gupta"/>
    <s v="Small Business"/>
    <x v="2"/>
    <x v="2"/>
    <s v="Hyderabad"/>
    <x v="2"/>
    <s v="Accessories"/>
    <s v="Pro Accessories 325"/>
    <x v="2"/>
    <n v="9"/>
    <n v="2186.23"/>
    <n v="0"/>
    <n v="19676.07"/>
    <n v="12458.62"/>
    <n v="7217.45"/>
    <x v="1"/>
    <s v="Cancelled"/>
  </r>
  <r>
    <x v="872"/>
    <x v="487"/>
    <d v="2024-02-11T00:00:00"/>
    <n v="-264"/>
    <s v="CUST-6262"/>
    <s v="Karan Malhotra"/>
    <s v="Corporate"/>
    <x v="1"/>
    <x v="6"/>
    <s v="Kolkata"/>
    <x v="1"/>
    <s v="Furnishings"/>
    <s v="Prime Furnishings 178"/>
    <x v="3"/>
    <n v="5"/>
    <n v="2212.02"/>
    <n v="0.2"/>
    <n v="8848.08"/>
    <n v="5691.56"/>
    <n v="3156.52"/>
    <x v="0"/>
    <s v="Completed"/>
  </r>
  <r>
    <x v="873"/>
    <x v="95"/>
    <d v="2025-08-02T00:00:00"/>
    <n v="212"/>
    <s v="CUST-8160"/>
    <s v="Aditi Sen"/>
    <s v="Home Office"/>
    <x v="3"/>
    <x v="12"/>
    <s v="Ahmedabad"/>
    <x v="0"/>
    <s v="Storage"/>
    <s v="Elite Storage 144"/>
    <x v="0"/>
    <n v="8"/>
    <n v="623.30999999999995"/>
    <n v="0.1"/>
    <n v="4487.83"/>
    <n v="2633.78"/>
    <n v="1854.05"/>
    <x v="0"/>
    <s v="Completed"/>
  </r>
  <r>
    <x v="874"/>
    <x v="18"/>
    <d v="2025-07-16T00:00:00"/>
    <n v="1"/>
    <s v="CUST-8770"/>
    <s v="Vikram Iyer"/>
    <s v="Small Business"/>
    <x v="3"/>
    <x v="3"/>
    <s v="Mumbai"/>
    <x v="0"/>
    <s v="Paper"/>
    <s v="Elite Paper 309"/>
    <x v="3"/>
    <n v="8"/>
    <n v="3924.88"/>
    <n v="0.05"/>
    <n v="29829.09"/>
    <n v="20710.18"/>
    <n v="9118.91"/>
    <x v="0"/>
    <s v="Completed"/>
  </r>
  <r>
    <x v="875"/>
    <x v="75"/>
    <d v="2024-08-11T00:00:00"/>
    <n v="-58"/>
    <s v="CUST-6928"/>
    <s v="Mira Das"/>
    <s v="Corporate"/>
    <x v="3"/>
    <x v="3"/>
    <s v="Mumbai"/>
    <x v="2"/>
    <s v="Copiers"/>
    <s v="Elite Copiers 752"/>
    <x v="2"/>
    <n v="7"/>
    <n v="3852.62"/>
    <n v="0.2"/>
    <n v="21574.67"/>
    <n v="14672.83"/>
    <n v="6901.84"/>
    <x v="0"/>
    <s v="Completed"/>
  </r>
  <r>
    <x v="876"/>
    <x v="357"/>
    <d v="2024-11-20T00:00:00"/>
    <n v="2"/>
    <s v="CUST-9044"/>
    <s v="Priya Menon"/>
    <s v="Consumer"/>
    <x v="3"/>
    <x v="0"/>
    <s v="Udaipur"/>
    <x v="1"/>
    <s v="Chairs"/>
    <s v="Pro Chairs 316"/>
    <x v="2"/>
    <n v="6"/>
    <n v="3790.22"/>
    <n v="0"/>
    <n v="22741.32"/>
    <n v="16388.57"/>
    <n v="6352.75"/>
    <x v="0"/>
    <s v="Completed"/>
  </r>
  <r>
    <x v="877"/>
    <x v="424"/>
    <d v="2025-03-09T00:00:00"/>
    <n v="-170"/>
    <s v="CUST-7146"/>
    <s v="Aarav Sharma"/>
    <s v="Consumer"/>
    <x v="3"/>
    <x v="0"/>
    <s v="Udaipur"/>
    <x v="0"/>
    <s v="Storage"/>
    <s v="Max Storage 438"/>
    <x v="0"/>
    <n v="6"/>
    <n v="674.36"/>
    <n v="0.1"/>
    <n v="3641.54"/>
    <n v="2690.37"/>
    <n v="951.17"/>
    <x v="0"/>
    <s v="Completed"/>
  </r>
  <r>
    <x v="878"/>
    <x v="163"/>
    <d v="2024-01-22T00:00:00"/>
    <n v="0"/>
    <s v="CUST-8534"/>
    <s v="Karan Malhotra"/>
    <s v="Corporate"/>
    <x v="1"/>
    <x v="6"/>
    <s v="Kolkata"/>
    <x v="0"/>
    <s v="Paper"/>
    <s v="Basic Paper 904"/>
    <x v="2"/>
    <n v="8"/>
    <n v="1557.21"/>
    <n v="0.05"/>
    <n v="11834.8"/>
    <n v="9322.36"/>
    <n v="2512.44"/>
    <x v="0"/>
    <s v="Completed"/>
  </r>
  <r>
    <x v="879"/>
    <x v="457"/>
    <d v="2025-08-28T00:00:00"/>
    <n v="1"/>
    <s v="CUST-4486"/>
    <s v="Ananya Rao"/>
    <s v="Home Office"/>
    <x v="0"/>
    <x v="8"/>
    <s v="Noida"/>
    <x v="0"/>
    <s v="Art"/>
    <s v="Smart Art 990"/>
    <x v="3"/>
    <n v="6"/>
    <n v="1182.03"/>
    <n v="0.15"/>
    <n v="6028.35"/>
    <n v="4433.63"/>
    <n v="1594.72"/>
    <x v="0"/>
    <s v="Completed"/>
  </r>
  <r>
    <x v="880"/>
    <x v="488"/>
    <d v="2024-03-15T00:00:00"/>
    <n v="-141"/>
    <s v="CUST-5287"/>
    <s v="Aarav Sharma"/>
    <s v="Small Business"/>
    <x v="4"/>
    <x v="7"/>
    <s v="Ludhiana"/>
    <x v="1"/>
    <s v="Chairs"/>
    <s v="Basic Chairs 327"/>
    <x v="2"/>
    <n v="5"/>
    <n v="3234.77"/>
    <n v="0"/>
    <n v="16173.85"/>
    <n v="13636.34"/>
    <n v="2537.5100000000002"/>
    <x v="0"/>
    <s v="Completed"/>
  </r>
  <r>
    <x v="881"/>
    <x v="192"/>
    <d v="2024-05-12T00:00:00"/>
    <n v="121"/>
    <s v="CUST-3445"/>
    <s v="Ananya Rao"/>
    <s v="Small Business"/>
    <x v="2"/>
    <x v="5"/>
    <s v="Vijayawada"/>
    <x v="2"/>
    <s v="Copiers"/>
    <s v="Eco Copiers 987"/>
    <x v="0"/>
    <n v="9"/>
    <n v="3726.75"/>
    <n v="0.25"/>
    <n v="25155.56"/>
    <n v="17592.689999999999"/>
    <n v="7562.87"/>
    <x v="0"/>
    <s v="Completed"/>
  </r>
  <r>
    <x v="882"/>
    <x v="430"/>
    <d v="2025-02-10T00:00:00"/>
    <n v="8"/>
    <s v="CUST-4983"/>
    <s v="Sneha Kapoor"/>
    <s v="Corporate"/>
    <x v="1"/>
    <x v="9"/>
    <s v="Patna"/>
    <x v="2"/>
    <s v="Accessories"/>
    <s v="Basic Accessories 607"/>
    <x v="3"/>
    <n v="4"/>
    <n v="1912.45"/>
    <n v="0"/>
    <n v="7649.8"/>
    <n v="4894.53"/>
    <n v="2755.27"/>
    <x v="2"/>
    <s v="Returned"/>
  </r>
  <r>
    <x v="883"/>
    <x v="489"/>
    <d v="2025-05-01T00:00:00"/>
    <n v="3"/>
    <s v="CUST-2597"/>
    <s v="Aarav Sharma"/>
    <s v="Small Business"/>
    <x v="3"/>
    <x v="14"/>
    <s v="Panaji"/>
    <x v="0"/>
    <s v="Storage"/>
    <s v="Classic Storage 211"/>
    <x v="1"/>
    <n v="1"/>
    <n v="1620.87"/>
    <n v="0"/>
    <n v="1620.87"/>
    <n v="1103.6099999999999"/>
    <n v="517.26"/>
    <x v="0"/>
    <s v="Completed"/>
  </r>
  <r>
    <x v="884"/>
    <x v="490"/>
    <d v="2025-01-25T00:00:00"/>
    <n v="7"/>
    <s v="CUST-7505"/>
    <s v="Neha Gupta"/>
    <s v="Home Office"/>
    <x v="2"/>
    <x v="11"/>
    <s v="Bengaluru"/>
    <x v="0"/>
    <s v="Storage"/>
    <s v="Eco Storage 783"/>
    <x v="1"/>
    <n v="2"/>
    <n v="2098.54"/>
    <n v="0.15"/>
    <n v="3567.52"/>
    <n v="2411.8000000000002"/>
    <n v="1155.72"/>
    <x v="0"/>
    <s v="Completed"/>
  </r>
  <r>
    <x v="885"/>
    <x v="491"/>
    <d v="2024-05-01T00:00:00"/>
    <n v="0"/>
    <s v="CUST-3446"/>
    <s v="Diya Patel"/>
    <s v="Consumer"/>
    <x v="0"/>
    <x v="0"/>
    <s v="Jaipur"/>
    <x v="1"/>
    <s v="Tables"/>
    <s v="Pro Tables 866"/>
    <x v="3"/>
    <n v="1"/>
    <n v="2167.08"/>
    <n v="0.25"/>
    <n v="1625.31"/>
    <n v="1157.8900000000001"/>
    <n v="467.42"/>
    <x v="0"/>
    <s v="Completed"/>
  </r>
  <r>
    <x v="886"/>
    <x v="492"/>
    <d v="2025-03-05T00:00:00"/>
    <n v="-52"/>
    <s v="CUST-3549"/>
    <s v="Arjun Bose"/>
    <s v="Home Office"/>
    <x v="2"/>
    <x v="17"/>
    <s v="Chennai"/>
    <x v="2"/>
    <s v="Accessories"/>
    <s v="Max Accessories 541"/>
    <x v="2"/>
    <n v="7"/>
    <n v="3989.9"/>
    <n v="0.15"/>
    <n v="23739.9"/>
    <n v="17716.52"/>
    <n v="6023.38"/>
    <x v="0"/>
    <s v="Cancelled"/>
  </r>
  <r>
    <x v="887"/>
    <x v="109"/>
    <d v="2024-06-18T00:00:00"/>
    <n v="-171"/>
    <s v="CUST-2795"/>
    <s v="Aarav Sharma"/>
    <s v="Small Business"/>
    <x v="2"/>
    <x v="5"/>
    <s v="Vijayawada"/>
    <x v="0"/>
    <s v="Art"/>
    <s v="Prime Art 596"/>
    <x v="3"/>
    <n v="4"/>
    <n v="4176.13"/>
    <n v="0"/>
    <n v="16704.52"/>
    <n v="10158.280000000001"/>
    <n v="6546.24"/>
    <x v="0"/>
    <s v="Completed"/>
  </r>
  <r>
    <x v="888"/>
    <x v="213"/>
    <d v="2025-07-08T00:00:00"/>
    <n v="30"/>
    <s v="CUST-1081"/>
    <s v="Rahul Verma"/>
    <s v="Small Business"/>
    <x v="3"/>
    <x v="3"/>
    <s v="Mumbai"/>
    <x v="0"/>
    <s v="Art"/>
    <s v="Pro Art 620"/>
    <x v="3"/>
    <n v="4"/>
    <n v="3523.64"/>
    <n v="0.1"/>
    <n v="12685.1"/>
    <n v="10779.56"/>
    <n v="1905.54"/>
    <x v="1"/>
    <s v="Cancelled"/>
  </r>
  <r>
    <x v="889"/>
    <x v="260"/>
    <d v="2025-03-11T00:00:00"/>
    <n v="-206"/>
    <s v="CUST-8467"/>
    <s v="Aditi Sen"/>
    <s v="Home Office"/>
    <x v="3"/>
    <x v="4"/>
    <s v="Indore"/>
    <x v="0"/>
    <s v="Storage"/>
    <s v="Prime Storage 806"/>
    <x v="2"/>
    <n v="2"/>
    <n v="3922.08"/>
    <n v="0.25"/>
    <n v="5883.12"/>
    <n v="4647.91"/>
    <n v="1235.21"/>
    <x v="0"/>
    <s v="Returned"/>
  </r>
  <r>
    <x v="890"/>
    <x v="174"/>
    <d v="2024-05-21T00:00:00"/>
    <n v="6"/>
    <s v="CUST-3992"/>
    <s v="Karan Malhotra"/>
    <s v="Consumer"/>
    <x v="3"/>
    <x v="14"/>
    <s v="Panaji"/>
    <x v="0"/>
    <s v="Storage"/>
    <s v="Smart Storage 288"/>
    <x v="3"/>
    <n v="6"/>
    <n v="2909.56"/>
    <n v="0.2"/>
    <n v="13965.89"/>
    <n v="11646.12"/>
    <n v="2319.77"/>
    <x v="0"/>
    <s v="Completed"/>
  </r>
  <r>
    <x v="891"/>
    <x v="493"/>
    <d v="2024-09-10T00:00:00"/>
    <n v="31"/>
    <s v="CUST-6647"/>
    <s v="Kabir Singh"/>
    <s v="Corporate"/>
    <x v="2"/>
    <x v="17"/>
    <s v="Chennai"/>
    <x v="2"/>
    <s v="Machines"/>
    <s v="Elite Machines 281"/>
    <x v="1"/>
    <n v="5"/>
    <n v="2407.9699999999998"/>
    <n v="0.1"/>
    <n v="10835.86"/>
    <n v="6419.92"/>
    <n v="4415.9399999999996"/>
    <x v="3"/>
    <s v="Cancelled"/>
  </r>
  <r>
    <x v="892"/>
    <x v="494"/>
    <d v="2025-04-18T00:00:00"/>
    <n v="6"/>
    <s v="CUST-5087"/>
    <s v="Isha Nair"/>
    <s v="Small Business"/>
    <x v="1"/>
    <x v="15"/>
    <s v="Ranchi"/>
    <x v="2"/>
    <s v="Copiers"/>
    <s v="Elite Copiers 221"/>
    <x v="1"/>
    <n v="1"/>
    <n v="726.89"/>
    <n v="0.2"/>
    <n v="581.51"/>
    <n v="423.86"/>
    <n v="157.65"/>
    <x v="0"/>
    <s v="Completed"/>
  </r>
  <r>
    <x v="893"/>
    <x v="287"/>
    <d v="2024-08-06T00:00:00"/>
    <n v="61"/>
    <s v="CUST-9297"/>
    <s v="Aarav Sharma"/>
    <s v="Corporate"/>
    <x v="2"/>
    <x v="11"/>
    <s v="Bengaluru"/>
    <x v="1"/>
    <s v="Tables"/>
    <s v="Max Tables 291"/>
    <x v="0"/>
    <n v="3"/>
    <n v="395.49"/>
    <n v="0.05"/>
    <n v="1127.1500000000001"/>
    <n v="845.62"/>
    <n v="281.52999999999997"/>
    <x v="0"/>
    <s v="Returned"/>
  </r>
  <r>
    <x v="894"/>
    <x v="394"/>
    <d v="2024-02-29T00:00:00"/>
    <n v="7"/>
    <s v="CUST-7996"/>
    <s v="Isha Nair"/>
    <s v="Home Office"/>
    <x v="2"/>
    <x v="2"/>
    <s v="Hyderabad"/>
    <x v="1"/>
    <s v="Tables"/>
    <s v="Classic Tables 638"/>
    <x v="2"/>
    <n v="6"/>
    <n v="4254.05"/>
    <n v="0"/>
    <n v="25524.3"/>
    <n v="16711.93"/>
    <n v="8812.3700000000008"/>
    <x v="0"/>
    <s v="Completed"/>
  </r>
  <r>
    <x v="895"/>
    <x v="207"/>
    <d v="2024-11-10T00:00:00"/>
    <n v="183"/>
    <s v="CUST-4117"/>
    <s v="Arjun Bose"/>
    <s v="Consumer"/>
    <x v="2"/>
    <x v="13"/>
    <s v="Kochi"/>
    <x v="1"/>
    <s v="Chairs"/>
    <s v="Basic Chairs 212"/>
    <x v="1"/>
    <n v="4"/>
    <n v="711.18"/>
    <n v="0.15"/>
    <n v="2418.0100000000002"/>
    <n v="1441.89"/>
    <n v="976.12"/>
    <x v="2"/>
    <s v="Returned"/>
  </r>
  <r>
    <x v="896"/>
    <x v="495"/>
    <d v="2024-12-25T00:00:00"/>
    <n v="1"/>
    <s v="CUST-4848"/>
    <s v="Ananya Rao"/>
    <s v="Small Business"/>
    <x v="2"/>
    <x v="17"/>
    <s v="Chennai"/>
    <x v="2"/>
    <s v="Copiers"/>
    <s v="Max Copiers 121"/>
    <x v="0"/>
    <n v="1"/>
    <n v="3693.03"/>
    <n v="0.05"/>
    <n v="3508.38"/>
    <n v="2828.06"/>
    <n v="680.32"/>
    <x v="3"/>
    <s v="Returned"/>
  </r>
  <r>
    <x v="897"/>
    <x v="181"/>
    <d v="2025-03-05T00:00:00"/>
    <n v="-55"/>
    <s v="CUST-2897"/>
    <s v="Rohan Mehta"/>
    <s v="Corporate"/>
    <x v="0"/>
    <x v="16"/>
    <s v="Gurugram"/>
    <x v="0"/>
    <s v="Paper"/>
    <s v="Eco Paper 747"/>
    <x v="2"/>
    <n v="4"/>
    <n v="1786.65"/>
    <n v="0.05"/>
    <n v="6789.27"/>
    <n v="5626.43"/>
    <n v="1162.8399999999999"/>
    <x v="0"/>
    <s v="Completed"/>
  </r>
  <r>
    <x v="898"/>
    <x v="496"/>
    <d v="2024-06-08T00:00:00"/>
    <n v="123"/>
    <s v="CUST-6046"/>
    <s v="Vikram Iyer"/>
    <s v="Consumer"/>
    <x v="0"/>
    <x v="18"/>
    <s v="New Delhi"/>
    <x v="1"/>
    <s v="Tables"/>
    <s v="Classic Tables 535"/>
    <x v="2"/>
    <n v="4"/>
    <n v="1536.7"/>
    <n v="0.2"/>
    <n v="4917.4399999999996"/>
    <n v="3846.77"/>
    <n v="1070.67"/>
    <x v="0"/>
    <s v="Completed"/>
  </r>
  <r>
    <x v="899"/>
    <x v="254"/>
    <d v="2025-06-03T00:00:00"/>
    <n v="7"/>
    <s v="CUST-3789"/>
    <s v="Karan Malhotra"/>
    <s v="Consumer"/>
    <x v="0"/>
    <x v="7"/>
    <s v="Ludhiana"/>
    <x v="1"/>
    <s v="Chairs"/>
    <s v="Elite Chairs 971"/>
    <x v="2"/>
    <n v="5"/>
    <n v="881.08"/>
    <n v="0.25"/>
    <n v="3304.05"/>
    <n v="2279.41"/>
    <n v="1024.6400000000001"/>
    <x v="3"/>
    <s v="Cancelled"/>
  </r>
  <r>
    <x v="331"/>
    <x v="253"/>
    <d v="2024-06-12T00:00:00"/>
    <n v="61"/>
    <s v="CUST-9346"/>
    <s v="Sneha Kapoor"/>
    <s v="Home Office"/>
    <x v="1"/>
    <x v="1"/>
    <s v="Bhubaneswar"/>
    <x v="0"/>
    <s v="Binders"/>
    <s v="Smart Binders 939"/>
    <x v="0"/>
    <n v="4"/>
    <n v="2685.66"/>
    <n v="0"/>
    <n v="10989.89"/>
    <n v="6477.37"/>
    <n v="4265.2700000000004"/>
    <x v="0"/>
    <s v="Completed"/>
  </r>
  <r>
    <x v="90"/>
    <x v="83"/>
    <d v="2025-08-29T00:00:00"/>
    <n v="5"/>
    <s v="CUST-5909"/>
    <s v="Aarav Sharma"/>
    <s v="Small Business"/>
    <x v="1"/>
    <x v="9"/>
    <s v="Patna"/>
    <x v="2"/>
    <s v="Copiers"/>
    <s v="Smart Copiers 556"/>
    <x v="2"/>
    <n v="3"/>
    <n v="3703.96"/>
    <n v="0.15"/>
    <n v="9549.44"/>
    <n v="5586.28"/>
    <n v="3858.82"/>
    <x v="0"/>
    <s v="Returned"/>
  </r>
  <r>
    <x v="373"/>
    <x v="273"/>
    <d v="2025-04-13T00:00:00"/>
    <n v="0"/>
    <s v="CUST-8566"/>
    <s v="Sneha Kapoor"/>
    <s v="Small Business"/>
    <x v="0"/>
    <x v="8"/>
    <s v="Noida"/>
    <x v="0"/>
    <s v="Storage"/>
    <s v="Prime Storage 951"/>
    <x v="0"/>
    <n v="9"/>
    <n v="1118.68"/>
    <n v="0"/>
    <n v="10348.43"/>
    <n v="8595.3700000000008"/>
    <n v="1472.75"/>
    <x v="0"/>
    <s v="Returned"/>
  </r>
  <r>
    <x v="224"/>
    <x v="183"/>
    <d v="2025-08-10T00:00:00"/>
    <n v="-53"/>
    <s v="CUST-9871"/>
    <s v="Isha Nair"/>
    <s v="Small Business"/>
    <x v="0"/>
    <x v="7"/>
    <s v="Ludhiana"/>
    <x v="1"/>
    <s v="Furnishings"/>
    <s v="Classic Furnishings 109"/>
    <x v="3"/>
    <n v="4"/>
    <n v="3944.64"/>
    <n v="0.25"/>
    <n v="12116.89"/>
    <n v="6682.92"/>
    <n v="5151"/>
    <x v="0"/>
    <s v="Returned"/>
  </r>
  <r>
    <x v="314"/>
    <x v="169"/>
    <d v="2025-05-20T00:00:00"/>
    <n v="2"/>
    <s v="CUST-1945"/>
    <s v="Isha Nair"/>
    <s v="Corporate"/>
    <x v="3"/>
    <x v="4"/>
    <s v="Indore"/>
    <x v="0"/>
    <s v="Labels"/>
    <s v="Elite Labels 544"/>
    <x v="3"/>
    <n v="9"/>
    <n v="847.76"/>
    <n v="0.15"/>
    <n v="6589.37"/>
    <n v="5376.17"/>
    <n v="1109.19"/>
    <x v="3"/>
    <s v="Completed"/>
  </r>
  <r>
    <x v="170"/>
    <x v="9"/>
    <d v="2025-09-15T00:00:00"/>
    <n v="68"/>
    <s v="CUST-3734"/>
    <s v="Rohan Mehta"/>
    <s v="Corporate"/>
    <x v="1"/>
    <x v="9"/>
    <s v="Patna"/>
    <x v="2"/>
    <s v="Copiers"/>
    <s v="Eco Copiers 102"/>
    <x v="3"/>
    <n v="3"/>
    <n v="1711.32"/>
    <n v="0"/>
    <n v="5206.53"/>
    <n v="3930"/>
    <n v="1203.96"/>
    <x v="0"/>
    <s v="Returned"/>
  </r>
  <r>
    <x v="423"/>
    <x v="97"/>
    <d v="2024-02-27T00:00:00"/>
    <n v="7"/>
    <s v="CUST-6169"/>
    <s v="Diya Patel"/>
    <s v="Consumer"/>
    <x v="2"/>
    <x v="13"/>
    <s v="Kochi"/>
    <x v="2"/>
    <s v="Accessories"/>
    <s v="Prime Accessories 236"/>
    <x v="2"/>
    <n v="9"/>
    <n v="3779.31"/>
    <n v="0.2"/>
    <n v="27322.9"/>
    <n v="17940.43"/>
    <n v="9270.6"/>
    <x v="0"/>
    <s v="Returned"/>
  </r>
  <r>
    <x v="571"/>
    <x v="183"/>
    <d v="2025-02-14T00:00:00"/>
    <n v="-230"/>
    <s v="CUST-3425"/>
    <s v="Priya Menon"/>
    <s v="Small Business"/>
    <x v="0"/>
    <x v="8"/>
    <s v="Noida"/>
    <x v="2"/>
    <s v="Phones"/>
    <s v="Prime Phones 895"/>
    <x v="4"/>
    <n v="5"/>
    <n v="4276.29"/>
    <n v="0"/>
    <n v="21443.63"/>
    <n v="13240.21"/>
    <n v="8141.24"/>
    <x v="3"/>
    <s v="Completed"/>
  </r>
  <r>
    <x v="142"/>
    <x v="122"/>
    <d v="2024-03-26T00:00:00"/>
    <n v="-4"/>
    <s v="CUST-8944"/>
    <s v="Aditi Sen"/>
    <s v="Home Office"/>
    <x v="0"/>
    <x v="0"/>
    <s v="Jaipur"/>
    <x v="2"/>
    <s v="Phones"/>
    <s v="Classic Phones 142"/>
    <x v="0"/>
    <n v="5"/>
    <n v="907.54"/>
    <n v="0.15"/>
    <n v="4099.6899999999996"/>
    <n v="2769.26"/>
    <n v="1087.78"/>
    <x v="0"/>
    <s v="Returned"/>
  </r>
  <r>
    <x v="272"/>
    <x v="220"/>
    <d v="2024-08-24T00:00:00"/>
    <n v="6"/>
    <s v="CUST-7389"/>
    <s v="Arjun Bose"/>
    <s v="Consumer"/>
    <x v="2"/>
    <x v="5"/>
    <s v="Vijayawada"/>
    <x v="1"/>
    <s v="Chairs"/>
    <s v="Eco Chairs 314"/>
    <x v="2"/>
    <n v="7"/>
    <n v="557.21"/>
    <n v="0.1"/>
    <n v="3797.79"/>
    <n v="2191.5"/>
    <n v="1213.48"/>
    <x v="0"/>
    <s v="Returned"/>
  </r>
  <r>
    <x v="123"/>
    <x v="5"/>
    <d v="2024-05-25T00:00:00"/>
    <n v="1"/>
    <s v="CUST-1007"/>
    <s v="Sneha Kapoor"/>
    <s v="Small Business"/>
    <x v="0"/>
    <x v="7"/>
    <s v="Ludhiana"/>
    <x v="2"/>
    <s v="Copiers"/>
    <s v="Max Copiers 970"/>
    <x v="1"/>
    <n v="1"/>
    <n v="634.13"/>
    <n v="0"/>
    <n v="808.67"/>
    <n v="453.35"/>
    <n v="180.78"/>
    <x v="1"/>
    <s v="Returned"/>
  </r>
  <r>
    <x v="335"/>
    <x v="256"/>
    <d v="2025-06-18T00:00:00"/>
    <n v="2"/>
    <s v="CUST-3621"/>
    <s v="Rahul Verma"/>
    <s v="Home Office"/>
    <x v="3"/>
    <x v="4"/>
    <s v="Indore"/>
    <x v="0"/>
    <s v="Paper"/>
    <s v="Prime Paper 559"/>
    <x v="2"/>
    <n v="3"/>
    <n v="4289.37"/>
    <n v="0.1"/>
    <n v="11778.71"/>
    <n v="6829.43"/>
    <n v="4751.87"/>
    <x v="0"/>
    <s v="Return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157E5-DCBA-460D-BCCB-F5399DEE27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5">
    <pivotField showAll="0"/>
    <pivotField showAll="0">
      <items count="498">
        <item x="458"/>
        <item x="385"/>
        <item x="176"/>
        <item x="481"/>
        <item x="237"/>
        <item x="147"/>
        <item x="17"/>
        <item x="366"/>
        <item x="55"/>
        <item x="78"/>
        <item x="192"/>
        <item x="426"/>
        <item x="320"/>
        <item x="384"/>
        <item x="445"/>
        <item x="42"/>
        <item x="333"/>
        <item x="119"/>
        <item x="258"/>
        <item x="163"/>
        <item x="60"/>
        <item x="90"/>
        <item x="114"/>
        <item x="329"/>
        <item x="126"/>
        <item x="465"/>
        <item x="335"/>
        <item x="153"/>
        <item x="144"/>
        <item x="496"/>
        <item x="242"/>
        <item x="80"/>
        <item x="184"/>
        <item x="412"/>
        <item x="107"/>
        <item x="243"/>
        <item x="387"/>
        <item x="285"/>
        <item x="97"/>
        <item x="201"/>
        <item x="394"/>
        <item x="339"/>
        <item x="247"/>
        <item x="372"/>
        <item x="379"/>
        <item x="228"/>
        <item x="286"/>
        <item x="459"/>
        <item x="236"/>
        <item x="232"/>
        <item x="77"/>
        <item x="316"/>
        <item x="71"/>
        <item x="38"/>
        <item x="440"/>
        <item x="149"/>
        <item x="175"/>
        <item x="453"/>
        <item x="293"/>
        <item x="121"/>
        <item x="81"/>
        <item x="435"/>
        <item x="480"/>
        <item x="166"/>
        <item x="122"/>
        <item x="355"/>
        <item x="330"/>
        <item x="315"/>
        <item x="23"/>
        <item x="317"/>
        <item x="197"/>
        <item x="477"/>
        <item x="239"/>
        <item x="464"/>
        <item x="224"/>
        <item x="404"/>
        <item x="115"/>
        <item x="253"/>
        <item x="420"/>
        <item x="462"/>
        <item x="235"/>
        <item x="58"/>
        <item x="468"/>
        <item x="309"/>
        <item x="418"/>
        <item x="62"/>
        <item x="48"/>
        <item x="244"/>
        <item x="240"/>
        <item x="439"/>
        <item x="491"/>
        <item x="416"/>
        <item x="283"/>
        <item x="88"/>
        <item x="186"/>
        <item x="16"/>
        <item x="82"/>
        <item x="403"/>
        <item x="207"/>
        <item x="282"/>
        <item x="174"/>
        <item x="172"/>
        <item x="348"/>
        <item x="431"/>
        <item x="370"/>
        <item x="402"/>
        <item x="467"/>
        <item x="5"/>
        <item x="413"/>
        <item x="376"/>
        <item x="188"/>
        <item x="32"/>
        <item x="452"/>
        <item x="120"/>
        <item x="199"/>
        <item x="479"/>
        <item x="46"/>
        <item x="287"/>
        <item x="2"/>
        <item x="338"/>
        <item x="108"/>
        <item x="234"/>
        <item x="393"/>
        <item x="128"/>
        <item x="269"/>
        <item x="312"/>
        <item x="35"/>
        <item x="179"/>
        <item x="388"/>
        <item x="210"/>
        <item x="41"/>
        <item x="160"/>
        <item x="96"/>
        <item x="301"/>
        <item x="127"/>
        <item x="303"/>
        <item x="263"/>
        <item x="54"/>
        <item x="222"/>
        <item x="425"/>
        <item x="123"/>
        <item x="40"/>
        <item x="15"/>
        <item x="365"/>
        <item x="427"/>
        <item x="57"/>
        <item x="375"/>
        <item x="360"/>
        <item x="325"/>
        <item x="43"/>
        <item x="56"/>
        <item x="0"/>
        <item x="11"/>
        <item x="407"/>
        <item x="250"/>
        <item x="198"/>
        <item x="19"/>
        <item x="334"/>
        <item x="79"/>
        <item x="241"/>
        <item x="488"/>
        <item x="391"/>
        <item x="382"/>
        <item x="408"/>
        <item x="441"/>
        <item x="493"/>
        <item x="257"/>
        <item x="99"/>
        <item x="405"/>
        <item x="397"/>
        <item x="220"/>
        <item x="398"/>
        <item x="331"/>
        <item x="245"/>
        <item x="196"/>
        <item x="448"/>
        <item x="368"/>
        <item x="150"/>
        <item x="191"/>
        <item x="456"/>
        <item x="296"/>
        <item x="307"/>
        <item x="1"/>
        <item x="28"/>
        <item x="136"/>
        <item x="65"/>
        <item x="229"/>
        <item x="86"/>
        <item x="133"/>
        <item x="352"/>
        <item x="159"/>
        <item x="262"/>
        <item x="345"/>
        <item x="374"/>
        <item x="417"/>
        <item x="277"/>
        <item x="478"/>
        <item x="173"/>
        <item x="294"/>
        <item x="105"/>
        <item x="302"/>
        <item x="350"/>
        <item x="406"/>
        <item x="148"/>
        <item x="103"/>
        <item x="308"/>
        <item x="396"/>
        <item x="322"/>
        <item x="170"/>
        <item x="75"/>
        <item x="37"/>
        <item x="475"/>
        <item x="446"/>
        <item x="190"/>
        <item x="390"/>
        <item x="151"/>
        <item x="362"/>
        <item x="101"/>
        <item x="158"/>
        <item x="132"/>
        <item x="356"/>
        <item x="450"/>
        <item x="33"/>
        <item x="49"/>
        <item x="455"/>
        <item x="98"/>
        <item x="59"/>
        <item x="487"/>
        <item x="68"/>
        <item x="261"/>
        <item x="8"/>
        <item x="438"/>
        <item x="349"/>
        <item x="298"/>
        <item x="24"/>
        <item x="336"/>
        <item x="214"/>
        <item x="357"/>
        <item x="429"/>
        <item x="30"/>
        <item x="25"/>
        <item x="433"/>
        <item x="473"/>
        <item x="3"/>
        <item x="110"/>
        <item x="104"/>
        <item x="246"/>
        <item x="266"/>
        <item x="109"/>
        <item x="461"/>
        <item x="44"/>
        <item x="204"/>
        <item x="381"/>
        <item x="36"/>
        <item x="472"/>
        <item x="113"/>
        <item x="353"/>
        <item x="193"/>
        <item x="12"/>
        <item x="219"/>
        <item x="347"/>
        <item x="61"/>
        <item x="495"/>
        <item x="341"/>
        <item x="14"/>
        <item x="342"/>
        <item x="275"/>
        <item x="209"/>
        <item x="274"/>
        <item x="205"/>
        <item x="95"/>
        <item x="306"/>
        <item x="177"/>
        <item x="154"/>
        <item x="52"/>
        <item x="437"/>
        <item x="118"/>
        <item x="364"/>
        <item x="411"/>
        <item x="428"/>
        <item x="414"/>
        <item x="270"/>
        <item x="490"/>
        <item x="22"/>
        <item x="141"/>
        <item x="20"/>
        <item x="343"/>
        <item x="85"/>
        <item x="21"/>
        <item x="130"/>
        <item x="161"/>
        <item x="297"/>
        <item x="45"/>
        <item x="31"/>
        <item x="430"/>
        <item x="84"/>
        <item x="460"/>
        <item x="143"/>
        <item x="485"/>
        <item x="218"/>
        <item x="395"/>
        <item x="280"/>
        <item x="221"/>
        <item x="284"/>
        <item x="106"/>
        <item x="401"/>
        <item x="182"/>
        <item x="139"/>
        <item x="265"/>
        <item x="400"/>
        <item x="7"/>
        <item x="295"/>
        <item x="178"/>
        <item x="70"/>
        <item x="231"/>
        <item x="337"/>
        <item x="64"/>
        <item x="436"/>
        <item x="215"/>
        <item x="486"/>
        <item x="359"/>
        <item x="226"/>
        <item x="466"/>
        <item x="305"/>
        <item x="76"/>
        <item x="421"/>
        <item x="146"/>
        <item x="442"/>
        <item x="268"/>
        <item x="443"/>
        <item x="324"/>
        <item x="361"/>
        <item x="484"/>
        <item x="131"/>
        <item x="165"/>
        <item x="69"/>
        <item x="50"/>
        <item x="451"/>
        <item x="206"/>
        <item x="279"/>
        <item x="422"/>
        <item x="189"/>
        <item x="346"/>
        <item x="383"/>
        <item x="6"/>
        <item x="310"/>
        <item x="494"/>
        <item x="273"/>
        <item x="288"/>
        <item x="354"/>
        <item x="67"/>
        <item x="410"/>
        <item x="157"/>
        <item x="168"/>
        <item x="304"/>
        <item x="449"/>
        <item x="290"/>
        <item x="380"/>
        <item x="492"/>
        <item x="369"/>
        <item x="489"/>
        <item x="181"/>
        <item x="358"/>
        <item x="53"/>
        <item x="94"/>
        <item x="323"/>
        <item x="474"/>
        <item x="340"/>
        <item x="87"/>
        <item x="367"/>
        <item x="47"/>
        <item x="482"/>
        <item x="447"/>
        <item x="169"/>
        <item x="10"/>
        <item x="155"/>
        <item x="276"/>
        <item x="264"/>
        <item x="233"/>
        <item x="327"/>
        <item x="212"/>
        <item x="254"/>
        <item x="216"/>
        <item x="251"/>
        <item x="51"/>
        <item x="476"/>
        <item x="454"/>
        <item x="389"/>
        <item x="202"/>
        <item x="156"/>
        <item x="291"/>
        <item x="271"/>
        <item x="213"/>
        <item x="321"/>
        <item x="238"/>
        <item x="300"/>
        <item x="29"/>
        <item x="256"/>
        <item x="211"/>
        <item x="230"/>
        <item x="255"/>
        <item x="152"/>
        <item x="203"/>
        <item x="102"/>
        <item x="187"/>
        <item x="171"/>
        <item x="314"/>
        <item x="195"/>
        <item x="223"/>
        <item x="371"/>
        <item x="313"/>
        <item x="194"/>
        <item x="267"/>
        <item x="72"/>
        <item x="9"/>
        <item x="116"/>
        <item x="18"/>
        <item x="73"/>
        <item x="111"/>
        <item x="363"/>
        <item x="167"/>
        <item x="434"/>
        <item x="162"/>
        <item x="392"/>
        <item x="135"/>
        <item x="225"/>
        <item x="164"/>
        <item x="34"/>
        <item x="125"/>
        <item x="248"/>
        <item x="200"/>
        <item x="483"/>
        <item x="463"/>
        <item x="373"/>
        <item x="89"/>
        <item x="259"/>
        <item x="134"/>
        <item x="27"/>
        <item x="377"/>
        <item x="227"/>
        <item x="272"/>
        <item x="217"/>
        <item x="140"/>
        <item x="66"/>
        <item x="100"/>
        <item x="83"/>
        <item x="424"/>
        <item x="457"/>
        <item x="63"/>
        <item x="4"/>
        <item x="471"/>
        <item x="332"/>
        <item x="117"/>
        <item x="292"/>
        <item x="415"/>
        <item x="289"/>
        <item x="399"/>
        <item x="208"/>
        <item x="138"/>
        <item x="409"/>
        <item x="432"/>
        <item x="142"/>
        <item x="249"/>
        <item x="319"/>
        <item x="278"/>
        <item x="137"/>
        <item x="386"/>
        <item x="129"/>
        <item x="112"/>
        <item x="299"/>
        <item x="74"/>
        <item x="145"/>
        <item x="26"/>
        <item x="326"/>
        <item x="183"/>
        <item x="260"/>
        <item x="185"/>
        <item x="444"/>
        <item x="344"/>
        <item x="281"/>
        <item x="470"/>
        <item x="39"/>
        <item x="378"/>
        <item x="423"/>
        <item x="91"/>
        <item x="328"/>
        <item x="124"/>
        <item x="469"/>
        <item x="419"/>
        <item x="180"/>
        <item x="351"/>
        <item x="311"/>
        <item x="252"/>
        <item x="93"/>
        <item x="318"/>
        <item x="92"/>
        <item x="13"/>
        <item t="default"/>
      </items>
    </pivotField>
    <pivotField showAll="0"/>
    <pivotField numFmtId="2"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19BDE-F9BA-41D8-A4D4-13824CD9DCB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5">
    <pivotField showAll="0"/>
    <pivotField showAll="0">
      <items count="498">
        <item x="458"/>
        <item x="385"/>
        <item x="176"/>
        <item x="481"/>
        <item x="237"/>
        <item x="147"/>
        <item x="17"/>
        <item x="366"/>
        <item x="55"/>
        <item x="78"/>
        <item x="192"/>
        <item x="426"/>
        <item x="320"/>
        <item x="384"/>
        <item x="445"/>
        <item x="42"/>
        <item x="333"/>
        <item x="119"/>
        <item x="258"/>
        <item x="163"/>
        <item x="60"/>
        <item x="90"/>
        <item x="114"/>
        <item x="329"/>
        <item x="126"/>
        <item x="465"/>
        <item x="335"/>
        <item x="153"/>
        <item x="144"/>
        <item x="496"/>
        <item x="242"/>
        <item x="80"/>
        <item x="184"/>
        <item x="412"/>
        <item x="107"/>
        <item x="243"/>
        <item x="387"/>
        <item x="285"/>
        <item x="97"/>
        <item x="201"/>
        <item x="394"/>
        <item x="339"/>
        <item x="247"/>
        <item x="372"/>
        <item x="379"/>
        <item x="228"/>
        <item x="286"/>
        <item x="459"/>
        <item x="236"/>
        <item x="232"/>
        <item x="77"/>
        <item x="316"/>
        <item x="71"/>
        <item x="38"/>
        <item x="440"/>
        <item x="149"/>
        <item x="175"/>
        <item x="453"/>
        <item x="293"/>
        <item x="121"/>
        <item x="81"/>
        <item x="435"/>
        <item x="480"/>
        <item x="166"/>
        <item x="122"/>
        <item x="355"/>
        <item x="330"/>
        <item x="315"/>
        <item x="23"/>
        <item x="317"/>
        <item x="197"/>
        <item x="477"/>
        <item x="239"/>
        <item x="464"/>
        <item x="224"/>
        <item x="404"/>
        <item x="115"/>
        <item x="253"/>
        <item x="420"/>
        <item x="462"/>
        <item x="235"/>
        <item x="58"/>
        <item x="468"/>
        <item x="309"/>
        <item x="418"/>
        <item x="62"/>
        <item x="48"/>
        <item x="244"/>
        <item x="240"/>
        <item x="439"/>
        <item x="491"/>
        <item x="416"/>
        <item x="283"/>
        <item x="88"/>
        <item x="186"/>
        <item x="16"/>
        <item x="82"/>
        <item x="403"/>
        <item x="207"/>
        <item x="282"/>
        <item x="174"/>
        <item x="172"/>
        <item x="348"/>
        <item x="431"/>
        <item x="370"/>
        <item x="402"/>
        <item x="467"/>
        <item x="5"/>
        <item x="413"/>
        <item x="376"/>
        <item x="188"/>
        <item x="32"/>
        <item x="452"/>
        <item x="120"/>
        <item x="199"/>
        <item x="479"/>
        <item x="46"/>
        <item x="287"/>
        <item x="2"/>
        <item x="338"/>
        <item x="108"/>
        <item x="234"/>
        <item x="393"/>
        <item x="128"/>
        <item x="269"/>
        <item x="312"/>
        <item x="35"/>
        <item x="179"/>
        <item x="388"/>
        <item x="210"/>
        <item x="41"/>
        <item x="160"/>
        <item x="96"/>
        <item x="301"/>
        <item x="127"/>
        <item x="303"/>
        <item x="263"/>
        <item x="54"/>
        <item x="222"/>
        <item x="425"/>
        <item x="123"/>
        <item x="40"/>
        <item x="15"/>
        <item x="365"/>
        <item x="427"/>
        <item x="57"/>
        <item x="375"/>
        <item x="360"/>
        <item x="325"/>
        <item x="43"/>
        <item x="56"/>
        <item x="0"/>
        <item x="11"/>
        <item x="407"/>
        <item x="250"/>
        <item x="198"/>
        <item x="19"/>
        <item x="334"/>
        <item x="79"/>
        <item x="241"/>
        <item x="488"/>
        <item x="391"/>
        <item x="382"/>
        <item x="408"/>
        <item x="441"/>
        <item x="493"/>
        <item x="257"/>
        <item x="99"/>
        <item x="405"/>
        <item x="397"/>
        <item x="220"/>
        <item x="398"/>
        <item x="331"/>
        <item x="245"/>
        <item x="196"/>
        <item x="448"/>
        <item x="368"/>
        <item x="150"/>
        <item x="191"/>
        <item x="456"/>
        <item x="296"/>
        <item x="307"/>
        <item x="1"/>
        <item x="28"/>
        <item x="136"/>
        <item x="65"/>
        <item x="229"/>
        <item x="86"/>
        <item x="133"/>
        <item x="352"/>
        <item x="159"/>
        <item x="262"/>
        <item x="345"/>
        <item x="374"/>
        <item x="417"/>
        <item x="277"/>
        <item x="478"/>
        <item x="173"/>
        <item x="294"/>
        <item x="105"/>
        <item x="302"/>
        <item x="350"/>
        <item x="406"/>
        <item x="148"/>
        <item x="103"/>
        <item x="308"/>
        <item x="396"/>
        <item x="322"/>
        <item x="170"/>
        <item x="75"/>
        <item x="37"/>
        <item x="475"/>
        <item x="446"/>
        <item x="190"/>
        <item x="390"/>
        <item x="151"/>
        <item x="362"/>
        <item x="101"/>
        <item x="158"/>
        <item x="132"/>
        <item x="356"/>
        <item x="450"/>
        <item x="33"/>
        <item x="49"/>
        <item x="455"/>
        <item x="98"/>
        <item x="59"/>
        <item x="487"/>
        <item x="68"/>
        <item x="261"/>
        <item x="8"/>
        <item x="438"/>
        <item x="349"/>
        <item x="298"/>
        <item x="24"/>
        <item x="336"/>
        <item x="214"/>
        <item x="357"/>
        <item x="429"/>
        <item x="30"/>
        <item x="25"/>
        <item x="433"/>
        <item x="473"/>
        <item x="3"/>
        <item x="110"/>
        <item x="104"/>
        <item x="246"/>
        <item x="266"/>
        <item x="109"/>
        <item x="461"/>
        <item x="44"/>
        <item x="204"/>
        <item x="381"/>
        <item x="36"/>
        <item x="472"/>
        <item x="113"/>
        <item x="353"/>
        <item x="193"/>
        <item x="12"/>
        <item x="219"/>
        <item x="347"/>
        <item x="61"/>
        <item x="495"/>
        <item x="341"/>
        <item x="14"/>
        <item x="342"/>
        <item x="275"/>
        <item x="209"/>
        <item x="274"/>
        <item x="205"/>
        <item x="95"/>
        <item x="306"/>
        <item x="177"/>
        <item x="154"/>
        <item x="52"/>
        <item x="437"/>
        <item x="118"/>
        <item x="364"/>
        <item x="411"/>
        <item x="428"/>
        <item x="414"/>
        <item x="270"/>
        <item x="490"/>
        <item x="22"/>
        <item x="141"/>
        <item x="20"/>
        <item x="343"/>
        <item x="85"/>
        <item x="21"/>
        <item x="130"/>
        <item x="161"/>
        <item x="297"/>
        <item x="45"/>
        <item x="31"/>
        <item x="430"/>
        <item x="84"/>
        <item x="460"/>
        <item x="143"/>
        <item x="485"/>
        <item x="218"/>
        <item x="395"/>
        <item x="280"/>
        <item x="221"/>
        <item x="284"/>
        <item x="106"/>
        <item x="401"/>
        <item x="182"/>
        <item x="139"/>
        <item x="265"/>
        <item x="400"/>
        <item x="7"/>
        <item x="295"/>
        <item x="178"/>
        <item x="70"/>
        <item x="231"/>
        <item x="337"/>
        <item x="64"/>
        <item x="436"/>
        <item x="215"/>
        <item x="486"/>
        <item x="359"/>
        <item x="226"/>
        <item x="466"/>
        <item x="305"/>
        <item x="76"/>
        <item x="421"/>
        <item x="146"/>
        <item x="442"/>
        <item x="268"/>
        <item x="443"/>
        <item x="324"/>
        <item x="361"/>
        <item x="484"/>
        <item x="131"/>
        <item x="165"/>
        <item x="69"/>
        <item x="50"/>
        <item x="451"/>
        <item x="206"/>
        <item x="279"/>
        <item x="422"/>
        <item x="189"/>
        <item x="346"/>
        <item x="383"/>
        <item x="6"/>
        <item x="310"/>
        <item x="494"/>
        <item x="273"/>
        <item x="288"/>
        <item x="354"/>
        <item x="67"/>
        <item x="410"/>
        <item x="157"/>
        <item x="168"/>
        <item x="304"/>
        <item x="449"/>
        <item x="290"/>
        <item x="380"/>
        <item x="492"/>
        <item x="369"/>
        <item x="489"/>
        <item x="181"/>
        <item x="358"/>
        <item x="53"/>
        <item x="94"/>
        <item x="323"/>
        <item x="474"/>
        <item x="340"/>
        <item x="87"/>
        <item x="367"/>
        <item x="47"/>
        <item x="482"/>
        <item x="447"/>
        <item x="169"/>
        <item x="10"/>
        <item x="155"/>
        <item x="276"/>
        <item x="264"/>
        <item x="233"/>
        <item x="327"/>
        <item x="212"/>
        <item x="254"/>
        <item x="216"/>
        <item x="251"/>
        <item x="51"/>
        <item x="476"/>
        <item x="454"/>
        <item x="389"/>
        <item x="202"/>
        <item x="156"/>
        <item x="291"/>
        <item x="271"/>
        <item x="213"/>
        <item x="321"/>
        <item x="238"/>
        <item x="300"/>
        <item x="29"/>
        <item x="256"/>
        <item x="211"/>
        <item x="230"/>
        <item x="255"/>
        <item x="152"/>
        <item x="203"/>
        <item x="102"/>
        <item x="187"/>
        <item x="171"/>
        <item x="314"/>
        <item x="195"/>
        <item x="223"/>
        <item x="371"/>
        <item x="313"/>
        <item x="194"/>
        <item x="267"/>
        <item x="72"/>
        <item x="9"/>
        <item x="116"/>
        <item x="18"/>
        <item x="73"/>
        <item x="111"/>
        <item x="363"/>
        <item x="167"/>
        <item x="434"/>
        <item x="162"/>
        <item x="392"/>
        <item x="135"/>
        <item x="225"/>
        <item x="164"/>
        <item x="34"/>
        <item x="125"/>
        <item x="248"/>
        <item x="200"/>
        <item x="483"/>
        <item x="463"/>
        <item x="373"/>
        <item x="89"/>
        <item x="259"/>
        <item x="134"/>
        <item x="27"/>
        <item x="377"/>
        <item x="227"/>
        <item x="272"/>
        <item x="217"/>
        <item x="140"/>
        <item x="66"/>
        <item x="100"/>
        <item x="83"/>
        <item x="424"/>
        <item x="457"/>
        <item x="63"/>
        <item x="4"/>
        <item x="471"/>
        <item x="332"/>
        <item x="117"/>
        <item x="292"/>
        <item x="415"/>
        <item x="289"/>
        <item x="399"/>
        <item x="208"/>
        <item x="138"/>
        <item x="409"/>
        <item x="432"/>
        <item x="142"/>
        <item x="249"/>
        <item x="319"/>
        <item x="278"/>
        <item x="137"/>
        <item x="386"/>
        <item x="129"/>
        <item x="112"/>
        <item x="299"/>
        <item x="74"/>
        <item x="145"/>
        <item x="26"/>
        <item x="326"/>
        <item x="183"/>
        <item x="260"/>
        <item x="185"/>
        <item x="444"/>
        <item x="344"/>
        <item x="281"/>
        <item x="470"/>
        <item x="39"/>
        <item x="378"/>
        <item x="423"/>
        <item x="91"/>
        <item x="328"/>
        <item x="124"/>
        <item x="469"/>
        <item x="419"/>
        <item x="180"/>
        <item x="351"/>
        <item x="311"/>
        <item x="252"/>
        <item x="93"/>
        <item x="318"/>
        <item x="92"/>
        <item x="13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409A6-F20B-4186-A3DF-AE34A28DC5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/>
  <pivotFields count="25">
    <pivotField showAll="0"/>
    <pivotField showAll="0">
      <items count="498">
        <item x="458"/>
        <item x="385"/>
        <item x="176"/>
        <item x="481"/>
        <item x="237"/>
        <item x="147"/>
        <item x="17"/>
        <item x="366"/>
        <item x="55"/>
        <item x="78"/>
        <item x="192"/>
        <item x="426"/>
        <item x="320"/>
        <item x="384"/>
        <item x="445"/>
        <item x="42"/>
        <item x="333"/>
        <item x="119"/>
        <item x="258"/>
        <item x="163"/>
        <item x="60"/>
        <item x="90"/>
        <item x="114"/>
        <item x="329"/>
        <item x="126"/>
        <item x="465"/>
        <item x="335"/>
        <item x="153"/>
        <item x="144"/>
        <item x="496"/>
        <item x="242"/>
        <item x="80"/>
        <item x="184"/>
        <item x="412"/>
        <item x="107"/>
        <item x="243"/>
        <item x="387"/>
        <item x="285"/>
        <item x="97"/>
        <item x="201"/>
        <item x="394"/>
        <item x="339"/>
        <item x="247"/>
        <item x="372"/>
        <item x="379"/>
        <item x="228"/>
        <item x="286"/>
        <item x="459"/>
        <item x="236"/>
        <item x="232"/>
        <item x="77"/>
        <item x="316"/>
        <item x="71"/>
        <item x="38"/>
        <item x="440"/>
        <item x="149"/>
        <item x="175"/>
        <item x="453"/>
        <item x="293"/>
        <item x="121"/>
        <item x="81"/>
        <item x="435"/>
        <item x="480"/>
        <item x="166"/>
        <item x="122"/>
        <item x="355"/>
        <item x="330"/>
        <item x="315"/>
        <item x="23"/>
        <item x="317"/>
        <item x="197"/>
        <item x="477"/>
        <item x="239"/>
        <item x="464"/>
        <item x="224"/>
        <item x="404"/>
        <item x="115"/>
        <item x="253"/>
        <item x="420"/>
        <item x="462"/>
        <item x="235"/>
        <item x="58"/>
        <item x="468"/>
        <item x="309"/>
        <item x="418"/>
        <item x="62"/>
        <item x="48"/>
        <item x="244"/>
        <item x="240"/>
        <item x="439"/>
        <item x="491"/>
        <item x="416"/>
        <item x="283"/>
        <item x="88"/>
        <item x="186"/>
        <item x="16"/>
        <item x="82"/>
        <item x="403"/>
        <item x="207"/>
        <item x="282"/>
        <item x="174"/>
        <item x="172"/>
        <item x="348"/>
        <item x="431"/>
        <item x="370"/>
        <item x="402"/>
        <item x="467"/>
        <item x="5"/>
        <item x="413"/>
        <item x="376"/>
        <item x="188"/>
        <item x="32"/>
        <item x="452"/>
        <item x="120"/>
        <item x="199"/>
        <item x="479"/>
        <item x="46"/>
        <item x="287"/>
        <item x="2"/>
        <item x="338"/>
        <item x="108"/>
        <item x="234"/>
        <item x="393"/>
        <item x="128"/>
        <item x="269"/>
        <item x="312"/>
        <item x="35"/>
        <item x="179"/>
        <item x="388"/>
        <item x="210"/>
        <item x="41"/>
        <item x="160"/>
        <item x="96"/>
        <item x="301"/>
        <item x="127"/>
        <item x="303"/>
        <item x="263"/>
        <item x="54"/>
        <item x="222"/>
        <item x="425"/>
        <item x="123"/>
        <item x="40"/>
        <item x="15"/>
        <item x="365"/>
        <item x="427"/>
        <item x="57"/>
        <item x="375"/>
        <item x="360"/>
        <item x="325"/>
        <item x="43"/>
        <item x="56"/>
        <item x="0"/>
        <item x="11"/>
        <item x="407"/>
        <item x="250"/>
        <item x="198"/>
        <item x="19"/>
        <item x="334"/>
        <item x="79"/>
        <item x="241"/>
        <item x="488"/>
        <item x="391"/>
        <item x="382"/>
        <item x="408"/>
        <item x="441"/>
        <item x="493"/>
        <item x="257"/>
        <item x="99"/>
        <item x="405"/>
        <item x="397"/>
        <item x="220"/>
        <item x="398"/>
        <item x="331"/>
        <item x="245"/>
        <item x="196"/>
        <item x="448"/>
        <item x="368"/>
        <item x="150"/>
        <item x="191"/>
        <item x="456"/>
        <item x="296"/>
        <item x="307"/>
        <item x="1"/>
        <item x="28"/>
        <item x="136"/>
        <item x="65"/>
        <item x="229"/>
        <item x="86"/>
        <item x="133"/>
        <item x="352"/>
        <item x="159"/>
        <item x="262"/>
        <item x="345"/>
        <item x="374"/>
        <item x="417"/>
        <item x="277"/>
        <item x="478"/>
        <item x="173"/>
        <item x="294"/>
        <item x="105"/>
        <item x="302"/>
        <item x="350"/>
        <item x="406"/>
        <item x="148"/>
        <item x="103"/>
        <item x="308"/>
        <item x="396"/>
        <item x="322"/>
        <item x="170"/>
        <item x="75"/>
        <item x="37"/>
        <item x="475"/>
        <item x="446"/>
        <item x="190"/>
        <item x="390"/>
        <item x="151"/>
        <item x="362"/>
        <item x="101"/>
        <item x="158"/>
        <item x="132"/>
        <item x="356"/>
        <item x="450"/>
        <item x="33"/>
        <item x="49"/>
        <item x="455"/>
        <item x="98"/>
        <item x="59"/>
        <item x="487"/>
        <item x="68"/>
        <item x="261"/>
        <item x="8"/>
        <item x="438"/>
        <item x="349"/>
        <item x="298"/>
        <item x="24"/>
        <item x="336"/>
        <item x="214"/>
        <item x="357"/>
        <item x="429"/>
        <item x="30"/>
        <item x="25"/>
        <item x="433"/>
        <item x="473"/>
        <item x="3"/>
        <item x="110"/>
        <item x="104"/>
        <item x="246"/>
        <item x="266"/>
        <item x="109"/>
        <item x="461"/>
        <item x="44"/>
        <item x="204"/>
        <item x="381"/>
        <item x="36"/>
        <item x="472"/>
        <item x="113"/>
        <item x="353"/>
        <item x="193"/>
        <item x="12"/>
        <item x="219"/>
        <item x="347"/>
        <item x="61"/>
        <item x="495"/>
        <item x="341"/>
        <item x="14"/>
        <item x="342"/>
        <item x="275"/>
        <item x="209"/>
        <item x="274"/>
        <item x="205"/>
        <item x="95"/>
        <item x="306"/>
        <item x="177"/>
        <item x="154"/>
        <item x="52"/>
        <item x="437"/>
        <item x="118"/>
        <item x="364"/>
        <item x="411"/>
        <item x="428"/>
        <item x="414"/>
        <item x="270"/>
        <item x="490"/>
        <item x="22"/>
        <item x="141"/>
        <item x="20"/>
        <item x="343"/>
        <item x="85"/>
        <item x="21"/>
        <item x="130"/>
        <item x="161"/>
        <item x="297"/>
        <item x="45"/>
        <item x="31"/>
        <item x="430"/>
        <item x="84"/>
        <item x="460"/>
        <item x="143"/>
        <item x="485"/>
        <item x="218"/>
        <item x="395"/>
        <item x="280"/>
        <item x="221"/>
        <item x="284"/>
        <item x="106"/>
        <item x="401"/>
        <item x="182"/>
        <item x="139"/>
        <item x="265"/>
        <item x="400"/>
        <item x="7"/>
        <item x="295"/>
        <item x="178"/>
        <item x="70"/>
        <item x="231"/>
        <item x="337"/>
        <item x="64"/>
        <item x="436"/>
        <item x="215"/>
        <item x="486"/>
        <item x="359"/>
        <item x="226"/>
        <item x="466"/>
        <item x="305"/>
        <item x="76"/>
        <item x="421"/>
        <item x="146"/>
        <item x="442"/>
        <item x="268"/>
        <item x="443"/>
        <item x="324"/>
        <item x="361"/>
        <item x="484"/>
        <item x="131"/>
        <item x="165"/>
        <item x="69"/>
        <item x="50"/>
        <item x="451"/>
        <item x="206"/>
        <item x="279"/>
        <item x="422"/>
        <item x="189"/>
        <item x="346"/>
        <item x="383"/>
        <item x="6"/>
        <item x="310"/>
        <item x="494"/>
        <item x="273"/>
        <item x="288"/>
        <item x="354"/>
        <item x="67"/>
        <item x="410"/>
        <item x="157"/>
        <item x="168"/>
        <item x="304"/>
        <item x="449"/>
        <item x="290"/>
        <item x="380"/>
        <item x="492"/>
        <item x="369"/>
        <item x="489"/>
        <item x="181"/>
        <item x="358"/>
        <item x="53"/>
        <item x="94"/>
        <item x="323"/>
        <item x="474"/>
        <item x="340"/>
        <item x="87"/>
        <item x="367"/>
        <item x="47"/>
        <item x="482"/>
        <item x="447"/>
        <item x="169"/>
        <item x="10"/>
        <item x="155"/>
        <item x="276"/>
        <item x="264"/>
        <item x="233"/>
        <item x="327"/>
        <item x="212"/>
        <item x="254"/>
        <item x="216"/>
        <item x="251"/>
        <item x="51"/>
        <item x="476"/>
        <item x="454"/>
        <item x="389"/>
        <item x="202"/>
        <item x="156"/>
        <item x="291"/>
        <item x="271"/>
        <item x="213"/>
        <item x="321"/>
        <item x="238"/>
        <item x="300"/>
        <item x="29"/>
        <item x="256"/>
        <item x="211"/>
        <item x="230"/>
        <item x="255"/>
        <item x="152"/>
        <item x="203"/>
        <item x="102"/>
        <item x="187"/>
        <item x="171"/>
        <item x="314"/>
        <item x="195"/>
        <item x="223"/>
        <item x="371"/>
        <item x="313"/>
        <item x="194"/>
        <item x="267"/>
        <item x="72"/>
        <item x="9"/>
        <item x="116"/>
        <item x="18"/>
        <item x="73"/>
        <item x="111"/>
        <item x="363"/>
        <item x="167"/>
        <item x="434"/>
        <item x="162"/>
        <item x="392"/>
        <item x="135"/>
        <item x="225"/>
        <item x="164"/>
        <item x="34"/>
        <item x="125"/>
        <item x="248"/>
        <item x="200"/>
        <item x="483"/>
        <item x="463"/>
        <item x="373"/>
        <item x="89"/>
        <item x="259"/>
        <item x="134"/>
        <item x="27"/>
        <item x="377"/>
        <item x="227"/>
        <item x="272"/>
        <item x="217"/>
        <item x="140"/>
        <item x="66"/>
        <item x="100"/>
        <item x="83"/>
        <item x="424"/>
        <item x="457"/>
        <item x="63"/>
        <item x="4"/>
        <item x="471"/>
        <item x="332"/>
        <item x="117"/>
        <item x="292"/>
        <item x="415"/>
        <item x="289"/>
        <item x="399"/>
        <item x="208"/>
        <item x="138"/>
        <item x="409"/>
        <item x="432"/>
        <item x="142"/>
        <item x="249"/>
        <item x="319"/>
        <item x="278"/>
        <item x="137"/>
        <item x="386"/>
        <item x="129"/>
        <item x="112"/>
        <item x="299"/>
        <item x="74"/>
        <item x="145"/>
        <item x="26"/>
        <item x="326"/>
        <item x="183"/>
        <item x="260"/>
        <item x="185"/>
        <item x="444"/>
        <item x="344"/>
        <item x="281"/>
        <item x="470"/>
        <item x="39"/>
        <item x="378"/>
        <item x="423"/>
        <item x="91"/>
        <item x="328"/>
        <item x="124"/>
        <item x="469"/>
        <item x="419"/>
        <item x="180"/>
        <item x="351"/>
        <item x="311"/>
        <item x="252"/>
        <item x="93"/>
        <item x="318"/>
        <item x="92"/>
        <item x="13"/>
        <item t="default"/>
      </items>
    </pivotField>
    <pivotField showAll="0"/>
    <pivotField numFmtId="2" showAll="0"/>
    <pivotField showAll="0"/>
    <pivotField showAll="0"/>
    <pivotField showAll="0"/>
    <pivotField showAll="0"/>
    <pivotField axis="axisRow" showAll="0">
      <items count="20">
        <item x="5"/>
        <item x="10"/>
        <item x="9"/>
        <item x="18"/>
        <item x="14"/>
        <item x="12"/>
        <item x="16"/>
        <item x="15"/>
        <item x="11"/>
        <item x="13"/>
        <item x="4"/>
        <item x="3"/>
        <item x="1"/>
        <item x="7"/>
        <item x="0"/>
        <item x="17"/>
        <item x="2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profit" fld="1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A838A-DEC8-4A4E-BF12-22C26A73B85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5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>
      <items count="498">
        <item x="458"/>
        <item x="385"/>
        <item x="176"/>
        <item x="481"/>
        <item x="237"/>
        <item x="147"/>
        <item x="17"/>
        <item x="366"/>
        <item x="55"/>
        <item x="78"/>
        <item x="192"/>
        <item x="426"/>
        <item x="320"/>
        <item x="384"/>
        <item x="445"/>
        <item x="42"/>
        <item x="333"/>
        <item x="119"/>
        <item x="258"/>
        <item x="163"/>
        <item x="60"/>
        <item x="90"/>
        <item x="114"/>
        <item x="329"/>
        <item x="126"/>
        <item x="465"/>
        <item x="335"/>
        <item x="153"/>
        <item x="144"/>
        <item x="496"/>
        <item x="242"/>
        <item x="80"/>
        <item x="184"/>
        <item x="412"/>
        <item x="107"/>
        <item x="243"/>
        <item x="387"/>
        <item x="285"/>
        <item x="97"/>
        <item x="201"/>
        <item x="394"/>
        <item x="339"/>
        <item x="247"/>
        <item x="372"/>
        <item x="379"/>
        <item x="228"/>
        <item x="286"/>
        <item x="459"/>
        <item x="236"/>
        <item x="232"/>
        <item x="77"/>
        <item x="316"/>
        <item x="71"/>
        <item x="38"/>
        <item x="440"/>
        <item x="149"/>
        <item x="175"/>
        <item x="453"/>
        <item x="293"/>
        <item x="121"/>
        <item x="81"/>
        <item x="435"/>
        <item x="480"/>
        <item x="166"/>
        <item x="122"/>
        <item x="355"/>
        <item x="330"/>
        <item x="315"/>
        <item x="23"/>
        <item x="317"/>
        <item x="197"/>
        <item x="477"/>
        <item x="239"/>
        <item x="464"/>
        <item x="224"/>
        <item x="404"/>
        <item x="115"/>
        <item x="253"/>
        <item x="420"/>
        <item x="462"/>
        <item x="235"/>
        <item x="58"/>
        <item x="468"/>
        <item x="309"/>
        <item x="418"/>
        <item x="62"/>
        <item x="48"/>
        <item x="244"/>
        <item x="240"/>
        <item x="439"/>
        <item x="491"/>
        <item x="416"/>
        <item x="283"/>
        <item x="88"/>
        <item x="186"/>
        <item x="16"/>
        <item x="82"/>
        <item x="403"/>
        <item x="207"/>
        <item x="282"/>
        <item x="174"/>
        <item x="172"/>
        <item x="348"/>
        <item x="431"/>
        <item x="370"/>
        <item x="402"/>
        <item x="467"/>
        <item x="5"/>
        <item x="413"/>
        <item x="376"/>
        <item x="188"/>
        <item x="32"/>
        <item x="452"/>
        <item x="120"/>
        <item x="199"/>
        <item x="479"/>
        <item x="46"/>
        <item x="287"/>
        <item x="2"/>
        <item x="338"/>
        <item x="108"/>
        <item x="234"/>
        <item x="393"/>
        <item x="128"/>
        <item x="269"/>
        <item x="312"/>
        <item x="35"/>
        <item x="179"/>
        <item x="388"/>
        <item x="210"/>
        <item x="41"/>
        <item x="160"/>
        <item x="96"/>
        <item x="301"/>
        <item x="127"/>
        <item x="303"/>
        <item x="263"/>
        <item x="54"/>
        <item x="222"/>
        <item x="425"/>
        <item x="123"/>
        <item x="40"/>
        <item x="15"/>
        <item x="365"/>
        <item x="427"/>
        <item x="57"/>
        <item x="375"/>
        <item x="360"/>
        <item x="325"/>
        <item x="43"/>
        <item x="56"/>
        <item x="0"/>
        <item x="11"/>
        <item x="407"/>
        <item x="250"/>
        <item x="198"/>
        <item x="19"/>
        <item x="334"/>
        <item x="79"/>
        <item x="241"/>
        <item x="488"/>
        <item x="391"/>
        <item x="382"/>
        <item x="408"/>
        <item x="441"/>
        <item x="493"/>
        <item x="257"/>
        <item x="99"/>
        <item x="405"/>
        <item x="397"/>
        <item x="220"/>
        <item x="398"/>
        <item x="331"/>
        <item x="245"/>
        <item x="196"/>
        <item x="448"/>
        <item x="368"/>
        <item x="150"/>
        <item x="191"/>
        <item x="456"/>
        <item x="296"/>
        <item x="307"/>
        <item x="1"/>
        <item x="28"/>
        <item x="136"/>
        <item x="65"/>
        <item x="229"/>
        <item x="86"/>
        <item x="133"/>
        <item x="352"/>
        <item x="159"/>
        <item x="262"/>
        <item x="345"/>
        <item x="374"/>
        <item x="417"/>
        <item x="277"/>
        <item x="478"/>
        <item x="173"/>
        <item x="294"/>
        <item x="105"/>
        <item x="302"/>
        <item x="350"/>
        <item x="406"/>
        <item x="148"/>
        <item x="103"/>
        <item x="308"/>
        <item x="396"/>
        <item x="322"/>
        <item x="170"/>
        <item x="75"/>
        <item x="37"/>
        <item x="475"/>
        <item x="446"/>
        <item x="190"/>
        <item x="390"/>
        <item x="151"/>
        <item x="362"/>
        <item x="101"/>
        <item x="158"/>
        <item x="132"/>
        <item x="356"/>
        <item x="450"/>
        <item x="33"/>
        <item x="49"/>
        <item x="455"/>
        <item x="98"/>
        <item x="59"/>
        <item x="487"/>
        <item x="68"/>
        <item x="261"/>
        <item x="8"/>
        <item x="438"/>
        <item x="349"/>
        <item x="298"/>
        <item x="24"/>
        <item x="336"/>
        <item x="214"/>
        <item x="357"/>
        <item x="429"/>
        <item x="30"/>
        <item x="25"/>
        <item x="433"/>
        <item x="473"/>
        <item x="3"/>
        <item x="110"/>
        <item x="104"/>
        <item x="246"/>
        <item x="266"/>
        <item x="109"/>
        <item x="461"/>
        <item x="44"/>
        <item x="204"/>
        <item x="381"/>
        <item x="36"/>
        <item x="472"/>
        <item x="113"/>
        <item x="353"/>
        <item x="193"/>
        <item x="12"/>
        <item x="219"/>
        <item x="347"/>
        <item x="61"/>
        <item x="495"/>
        <item x="341"/>
        <item x="14"/>
        <item x="342"/>
        <item x="275"/>
        <item x="209"/>
        <item x="274"/>
        <item x="205"/>
        <item x="95"/>
        <item x="306"/>
        <item x="177"/>
        <item x="154"/>
        <item x="52"/>
        <item x="437"/>
        <item x="118"/>
        <item x="364"/>
        <item x="411"/>
        <item x="428"/>
        <item x="414"/>
        <item x="270"/>
        <item x="490"/>
        <item x="22"/>
        <item x="141"/>
        <item x="20"/>
        <item x="343"/>
        <item x="85"/>
        <item x="21"/>
        <item x="130"/>
        <item x="161"/>
        <item x="297"/>
        <item x="45"/>
        <item x="31"/>
        <item x="430"/>
        <item x="84"/>
        <item x="460"/>
        <item x="143"/>
        <item x="485"/>
        <item x="218"/>
        <item x="395"/>
        <item x="280"/>
        <item x="221"/>
        <item x="284"/>
        <item x="106"/>
        <item x="401"/>
        <item x="182"/>
        <item x="139"/>
        <item x="265"/>
        <item x="400"/>
        <item x="7"/>
        <item x="295"/>
        <item x="178"/>
        <item x="70"/>
        <item x="231"/>
        <item x="337"/>
        <item x="64"/>
        <item x="436"/>
        <item x="215"/>
        <item x="486"/>
        <item x="359"/>
        <item x="226"/>
        <item x="466"/>
        <item x="305"/>
        <item x="76"/>
        <item x="421"/>
        <item x="146"/>
        <item x="442"/>
        <item x="268"/>
        <item x="443"/>
        <item x="324"/>
        <item x="361"/>
        <item x="484"/>
        <item x="131"/>
        <item x="165"/>
        <item x="69"/>
        <item x="50"/>
        <item x="451"/>
        <item x="206"/>
        <item x="279"/>
        <item x="422"/>
        <item x="189"/>
        <item x="346"/>
        <item x="383"/>
        <item x="6"/>
        <item x="310"/>
        <item x="494"/>
        <item x="273"/>
        <item x="288"/>
        <item x="354"/>
        <item x="67"/>
        <item x="410"/>
        <item x="157"/>
        <item x="168"/>
        <item x="304"/>
        <item x="449"/>
        <item x="290"/>
        <item x="380"/>
        <item x="492"/>
        <item x="369"/>
        <item x="489"/>
        <item x="181"/>
        <item x="358"/>
        <item x="53"/>
        <item x="94"/>
        <item x="323"/>
        <item x="474"/>
        <item x="340"/>
        <item x="87"/>
        <item x="367"/>
        <item x="47"/>
        <item x="482"/>
        <item x="447"/>
        <item x="169"/>
        <item x="10"/>
        <item x="155"/>
        <item x="276"/>
        <item x="264"/>
        <item x="233"/>
        <item x="327"/>
        <item x="212"/>
        <item x="254"/>
        <item x="216"/>
        <item x="251"/>
        <item x="51"/>
        <item x="476"/>
        <item x="454"/>
        <item x="389"/>
        <item x="202"/>
        <item x="156"/>
        <item x="291"/>
        <item x="271"/>
        <item x="213"/>
        <item x="321"/>
        <item x="238"/>
        <item x="300"/>
        <item x="29"/>
        <item x="256"/>
        <item x="211"/>
        <item x="230"/>
        <item x="255"/>
        <item x="152"/>
        <item x="203"/>
        <item x="102"/>
        <item x="187"/>
        <item x="171"/>
        <item x="314"/>
        <item x="195"/>
        <item x="223"/>
        <item x="371"/>
        <item x="313"/>
        <item x="194"/>
        <item x="267"/>
        <item x="72"/>
        <item x="9"/>
        <item x="116"/>
        <item x="18"/>
        <item x="73"/>
        <item x="111"/>
        <item x="363"/>
        <item x="167"/>
        <item x="434"/>
        <item x="162"/>
        <item x="392"/>
        <item x="135"/>
        <item x="225"/>
        <item x="164"/>
        <item x="34"/>
        <item x="125"/>
        <item x="248"/>
        <item x="200"/>
        <item x="483"/>
        <item x="463"/>
        <item x="373"/>
        <item x="89"/>
        <item x="259"/>
        <item x="134"/>
        <item x="27"/>
        <item x="377"/>
        <item x="227"/>
        <item x="272"/>
        <item x="217"/>
        <item x="140"/>
        <item x="66"/>
        <item x="100"/>
        <item x="83"/>
        <item x="424"/>
        <item x="457"/>
        <item x="63"/>
        <item x="4"/>
        <item x="471"/>
        <item x="332"/>
        <item x="117"/>
        <item x="292"/>
        <item x="415"/>
        <item x="289"/>
        <item x="399"/>
        <item x="208"/>
        <item x="138"/>
        <item x="409"/>
        <item x="432"/>
        <item x="142"/>
        <item x="249"/>
        <item x="319"/>
        <item x="278"/>
        <item x="137"/>
        <item x="386"/>
        <item x="129"/>
        <item x="112"/>
        <item x="299"/>
        <item x="74"/>
        <item x="145"/>
        <item x="26"/>
        <item x="326"/>
        <item x="183"/>
        <item x="260"/>
        <item x="185"/>
        <item x="444"/>
        <item x="344"/>
        <item x="281"/>
        <item x="470"/>
        <item x="39"/>
        <item x="378"/>
        <item x="423"/>
        <item x="91"/>
        <item x="328"/>
        <item x="124"/>
        <item x="469"/>
        <item x="419"/>
        <item x="180"/>
        <item x="351"/>
        <item x="311"/>
        <item x="252"/>
        <item x="93"/>
        <item x="318"/>
        <item x="92"/>
        <item x="13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EA703-5199-46D0-9209-E9766F6FFEC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5">
    <pivotField showAll="0"/>
    <pivotField axis="axisRow" showAll="0">
      <items count="498">
        <item x="458"/>
        <item x="385"/>
        <item x="176"/>
        <item x="481"/>
        <item x="237"/>
        <item x="147"/>
        <item x="17"/>
        <item x="366"/>
        <item x="55"/>
        <item x="78"/>
        <item x="192"/>
        <item x="426"/>
        <item x="320"/>
        <item x="384"/>
        <item x="445"/>
        <item x="42"/>
        <item x="333"/>
        <item x="119"/>
        <item x="258"/>
        <item x="163"/>
        <item x="60"/>
        <item x="90"/>
        <item x="114"/>
        <item x="329"/>
        <item x="126"/>
        <item x="465"/>
        <item x="335"/>
        <item x="153"/>
        <item x="144"/>
        <item x="496"/>
        <item x="242"/>
        <item x="80"/>
        <item x="184"/>
        <item x="412"/>
        <item x="107"/>
        <item x="243"/>
        <item x="387"/>
        <item x="285"/>
        <item x="97"/>
        <item x="201"/>
        <item x="394"/>
        <item x="339"/>
        <item x="247"/>
        <item x="372"/>
        <item x="379"/>
        <item x="228"/>
        <item x="286"/>
        <item x="459"/>
        <item x="236"/>
        <item x="232"/>
        <item x="77"/>
        <item x="316"/>
        <item x="71"/>
        <item x="38"/>
        <item x="440"/>
        <item x="149"/>
        <item x="175"/>
        <item x="453"/>
        <item x="293"/>
        <item x="121"/>
        <item x="81"/>
        <item x="435"/>
        <item x="480"/>
        <item x="166"/>
        <item x="122"/>
        <item x="355"/>
        <item x="330"/>
        <item x="315"/>
        <item x="23"/>
        <item x="317"/>
        <item x="197"/>
        <item x="477"/>
        <item x="239"/>
        <item x="464"/>
        <item x="224"/>
        <item x="404"/>
        <item x="115"/>
        <item x="253"/>
        <item x="420"/>
        <item x="462"/>
        <item x="235"/>
        <item x="58"/>
        <item x="468"/>
        <item x="309"/>
        <item x="418"/>
        <item x="62"/>
        <item x="48"/>
        <item x="244"/>
        <item x="240"/>
        <item x="439"/>
        <item x="491"/>
        <item x="416"/>
        <item x="283"/>
        <item x="88"/>
        <item x="186"/>
        <item x="16"/>
        <item x="82"/>
        <item x="403"/>
        <item x="207"/>
        <item x="282"/>
        <item x="174"/>
        <item x="172"/>
        <item x="348"/>
        <item x="431"/>
        <item x="370"/>
        <item x="402"/>
        <item x="467"/>
        <item x="5"/>
        <item x="413"/>
        <item x="376"/>
        <item x="188"/>
        <item x="32"/>
        <item x="452"/>
        <item x="120"/>
        <item x="199"/>
        <item x="479"/>
        <item x="46"/>
        <item x="287"/>
        <item x="2"/>
        <item x="338"/>
        <item x="108"/>
        <item x="234"/>
        <item x="393"/>
        <item x="128"/>
        <item x="269"/>
        <item x="312"/>
        <item x="35"/>
        <item x="179"/>
        <item x="388"/>
        <item x="210"/>
        <item x="41"/>
        <item x="160"/>
        <item x="96"/>
        <item x="301"/>
        <item x="127"/>
        <item x="303"/>
        <item x="263"/>
        <item x="54"/>
        <item x="222"/>
        <item x="425"/>
        <item x="123"/>
        <item x="40"/>
        <item x="15"/>
        <item x="365"/>
        <item x="427"/>
        <item x="57"/>
        <item x="375"/>
        <item x="360"/>
        <item x="325"/>
        <item x="43"/>
        <item x="56"/>
        <item x="0"/>
        <item x="11"/>
        <item x="407"/>
        <item x="250"/>
        <item x="198"/>
        <item x="19"/>
        <item x="334"/>
        <item x="79"/>
        <item x="241"/>
        <item x="488"/>
        <item x="391"/>
        <item x="382"/>
        <item x="408"/>
        <item x="441"/>
        <item x="493"/>
        <item x="257"/>
        <item x="99"/>
        <item x="405"/>
        <item x="397"/>
        <item x="220"/>
        <item x="398"/>
        <item x="331"/>
        <item x="245"/>
        <item x="196"/>
        <item x="448"/>
        <item x="368"/>
        <item x="150"/>
        <item x="191"/>
        <item x="456"/>
        <item x="296"/>
        <item x="307"/>
        <item x="1"/>
        <item x="28"/>
        <item x="136"/>
        <item x="65"/>
        <item x="229"/>
        <item x="86"/>
        <item x="133"/>
        <item x="352"/>
        <item x="159"/>
        <item x="262"/>
        <item x="345"/>
        <item x="374"/>
        <item x="417"/>
        <item x="277"/>
        <item x="478"/>
        <item x="173"/>
        <item x="294"/>
        <item x="105"/>
        <item x="302"/>
        <item x="350"/>
        <item x="406"/>
        <item x="148"/>
        <item x="103"/>
        <item x="308"/>
        <item x="396"/>
        <item x="322"/>
        <item x="170"/>
        <item x="75"/>
        <item x="37"/>
        <item x="475"/>
        <item x="446"/>
        <item x="190"/>
        <item x="390"/>
        <item x="151"/>
        <item x="362"/>
        <item x="101"/>
        <item x="158"/>
        <item x="132"/>
        <item x="356"/>
        <item x="450"/>
        <item x="33"/>
        <item x="49"/>
        <item x="455"/>
        <item x="98"/>
        <item x="59"/>
        <item x="487"/>
        <item x="68"/>
        <item x="261"/>
        <item x="8"/>
        <item x="438"/>
        <item x="349"/>
        <item x="298"/>
        <item x="24"/>
        <item x="336"/>
        <item x="214"/>
        <item x="357"/>
        <item x="429"/>
        <item x="30"/>
        <item x="25"/>
        <item x="433"/>
        <item x="473"/>
        <item x="3"/>
        <item x="110"/>
        <item x="104"/>
        <item x="246"/>
        <item x="266"/>
        <item x="109"/>
        <item x="461"/>
        <item x="44"/>
        <item x="204"/>
        <item x="381"/>
        <item x="36"/>
        <item x="472"/>
        <item x="113"/>
        <item x="353"/>
        <item x="193"/>
        <item x="12"/>
        <item x="219"/>
        <item x="347"/>
        <item x="61"/>
        <item x="495"/>
        <item x="341"/>
        <item x="14"/>
        <item x="342"/>
        <item x="275"/>
        <item x="209"/>
        <item x="274"/>
        <item x="205"/>
        <item x="95"/>
        <item x="306"/>
        <item x="177"/>
        <item x="154"/>
        <item x="52"/>
        <item x="437"/>
        <item x="118"/>
        <item x="364"/>
        <item x="411"/>
        <item x="428"/>
        <item x="414"/>
        <item x="270"/>
        <item x="490"/>
        <item x="22"/>
        <item x="141"/>
        <item x="20"/>
        <item x="343"/>
        <item x="85"/>
        <item x="21"/>
        <item x="130"/>
        <item x="161"/>
        <item x="297"/>
        <item x="45"/>
        <item x="31"/>
        <item x="430"/>
        <item x="84"/>
        <item x="460"/>
        <item x="143"/>
        <item x="485"/>
        <item x="218"/>
        <item x="395"/>
        <item x="280"/>
        <item x="221"/>
        <item x="284"/>
        <item x="106"/>
        <item x="401"/>
        <item x="182"/>
        <item x="139"/>
        <item x="265"/>
        <item x="400"/>
        <item x="7"/>
        <item x="295"/>
        <item x="178"/>
        <item x="70"/>
        <item x="231"/>
        <item x="337"/>
        <item x="64"/>
        <item x="436"/>
        <item x="215"/>
        <item x="486"/>
        <item x="359"/>
        <item x="226"/>
        <item x="466"/>
        <item x="305"/>
        <item x="76"/>
        <item x="421"/>
        <item x="146"/>
        <item x="442"/>
        <item x="268"/>
        <item x="443"/>
        <item x="324"/>
        <item x="361"/>
        <item x="484"/>
        <item x="131"/>
        <item x="165"/>
        <item x="69"/>
        <item x="50"/>
        <item x="451"/>
        <item x="206"/>
        <item x="279"/>
        <item x="422"/>
        <item x="189"/>
        <item x="346"/>
        <item x="383"/>
        <item x="6"/>
        <item x="310"/>
        <item x="494"/>
        <item x="273"/>
        <item x="288"/>
        <item x="354"/>
        <item x="67"/>
        <item x="410"/>
        <item x="157"/>
        <item x="168"/>
        <item x="304"/>
        <item x="449"/>
        <item x="290"/>
        <item x="380"/>
        <item x="492"/>
        <item x="369"/>
        <item x="489"/>
        <item x="181"/>
        <item x="358"/>
        <item x="53"/>
        <item x="94"/>
        <item x="323"/>
        <item x="474"/>
        <item x="340"/>
        <item x="87"/>
        <item x="367"/>
        <item x="47"/>
        <item x="482"/>
        <item x="447"/>
        <item x="169"/>
        <item x="10"/>
        <item x="155"/>
        <item x="276"/>
        <item x="264"/>
        <item x="233"/>
        <item x="327"/>
        <item x="212"/>
        <item x="254"/>
        <item x="216"/>
        <item x="251"/>
        <item x="51"/>
        <item x="476"/>
        <item x="454"/>
        <item x="389"/>
        <item x="202"/>
        <item x="156"/>
        <item x="291"/>
        <item x="271"/>
        <item x="213"/>
        <item x="321"/>
        <item x="238"/>
        <item x="300"/>
        <item x="29"/>
        <item x="256"/>
        <item x="211"/>
        <item x="230"/>
        <item x="255"/>
        <item x="152"/>
        <item x="203"/>
        <item x="102"/>
        <item x="187"/>
        <item x="171"/>
        <item x="314"/>
        <item x="195"/>
        <item x="223"/>
        <item x="371"/>
        <item x="313"/>
        <item x="194"/>
        <item x="267"/>
        <item x="72"/>
        <item x="9"/>
        <item x="116"/>
        <item x="18"/>
        <item x="73"/>
        <item x="111"/>
        <item x="363"/>
        <item x="167"/>
        <item x="434"/>
        <item x="162"/>
        <item x="392"/>
        <item x="135"/>
        <item x="225"/>
        <item x="164"/>
        <item x="34"/>
        <item x="125"/>
        <item x="248"/>
        <item x="200"/>
        <item x="483"/>
        <item x="463"/>
        <item x="373"/>
        <item x="89"/>
        <item x="259"/>
        <item x="134"/>
        <item x="27"/>
        <item x="377"/>
        <item x="227"/>
        <item x="272"/>
        <item x="217"/>
        <item x="140"/>
        <item x="66"/>
        <item x="100"/>
        <item x="83"/>
        <item x="424"/>
        <item x="457"/>
        <item x="63"/>
        <item x="4"/>
        <item x="471"/>
        <item x="332"/>
        <item x="117"/>
        <item x="292"/>
        <item x="415"/>
        <item x="289"/>
        <item x="399"/>
        <item x="208"/>
        <item x="138"/>
        <item x="409"/>
        <item x="432"/>
        <item x="142"/>
        <item x="249"/>
        <item x="319"/>
        <item x="278"/>
        <item x="137"/>
        <item x="386"/>
        <item x="129"/>
        <item x="112"/>
        <item x="299"/>
        <item x="74"/>
        <item x="145"/>
        <item x="26"/>
        <item x="326"/>
        <item x="183"/>
        <item x="260"/>
        <item x="185"/>
        <item x="444"/>
        <item x="344"/>
        <item x="281"/>
        <item x="470"/>
        <item x="39"/>
        <item x="378"/>
        <item x="423"/>
        <item x="91"/>
        <item x="328"/>
        <item x="124"/>
        <item x="469"/>
        <item x="419"/>
        <item x="180"/>
        <item x="351"/>
        <item x="311"/>
        <item x="252"/>
        <item x="93"/>
        <item x="318"/>
        <item x="92"/>
        <item x="13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24"/>
    <field x="23"/>
    <field x="22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D60FC-5F20-4788-8470-5F1116F2CEF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5">
    <pivotField dataField="1" showAll="0"/>
    <pivotField showAll="0">
      <items count="498">
        <item x="458"/>
        <item x="385"/>
        <item x="176"/>
        <item x="481"/>
        <item x="237"/>
        <item x="147"/>
        <item x="17"/>
        <item x="366"/>
        <item x="55"/>
        <item x="78"/>
        <item x="192"/>
        <item x="426"/>
        <item x="320"/>
        <item x="384"/>
        <item x="445"/>
        <item x="42"/>
        <item x="333"/>
        <item x="119"/>
        <item x="258"/>
        <item x="163"/>
        <item x="60"/>
        <item x="90"/>
        <item x="114"/>
        <item x="329"/>
        <item x="126"/>
        <item x="465"/>
        <item x="335"/>
        <item x="153"/>
        <item x="144"/>
        <item x="496"/>
        <item x="242"/>
        <item x="80"/>
        <item x="184"/>
        <item x="412"/>
        <item x="107"/>
        <item x="243"/>
        <item x="387"/>
        <item x="285"/>
        <item x="97"/>
        <item x="201"/>
        <item x="394"/>
        <item x="339"/>
        <item x="247"/>
        <item x="372"/>
        <item x="379"/>
        <item x="228"/>
        <item x="286"/>
        <item x="459"/>
        <item x="236"/>
        <item x="232"/>
        <item x="77"/>
        <item x="316"/>
        <item x="71"/>
        <item x="38"/>
        <item x="440"/>
        <item x="149"/>
        <item x="175"/>
        <item x="453"/>
        <item x="293"/>
        <item x="121"/>
        <item x="81"/>
        <item x="435"/>
        <item x="480"/>
        <item x="166"/>
        <item x="122"/>
        <item x="355"/>
        <item x="330"/>
        <item x="315"/>
        <item x="23"/>
        <item x="317"/>
        <item x="197"/>
        <item x="477"/>
        <item x="239"/>
        <item x="464"/>
        <item x="224"/>
        <item x="404"/>
        <item x="115"/>
        <item x="253"/>
        <item x="420"/>
        <item x="462"/>
        <item x="235"/>
        <item x="58"/>
        <item x="468"/>
        <item x="309"/>
        <item x="418"/>
        <item x="62"/>
        <item x="48"/>
        <item x="244"/>
        <item x="240"/>
        <item x="439"/>
        <item x="491"/>
        <item x="416"/>
        <item x="283"/>
        <item x="88"/>
        <item x="186"/>
        <item x="16"/>
        <item x="82"/>
        <item x="403"/>
        <item x="207"/>
        <item x="282"/>
        <item x="174"/>
        <item x="172"/>
        <item x="348"/>
        <item x="431"/>
        <item x="370"/>
        <item x="402"/>
        <item x="467"/>
        <item x="5"/>
        <item x="413"/>
        <item x="376"/>
        <item x="188"/>
        <item x="32"/>
        <item x="452"/>
        <item x="120"/>
        <item x="199"/>
        <item x="479"/>
        <item x="46"/>
        <item x="287"/>
        <item x="2"/>
        <item x="338"/>
        <item x="108"/>
        <item x="234"/>
        <item x="393"/>
        <item x="128"/>
        <item x="269"/>
        <item x="312"/>
        <item x="35"/>
        <item x="179"/>
        <item x="388"/>
        <item x="210"/>
        <item x="41"/>
        <item x="160"/>
        <item x="96"/>
        <item x="301"/>
        <item x="127"/>
        <item x="303"/>
        <item x="263"/>
        <item x="54"/>
        <item x="222"/>
        <item x="425"/>
        <item x="123"/>
        <item x="40"/>
        <item x="15"/>
        <item x="365"/>
        <item x="427"/>
        <item x="57"/>
        <item x="375"/>
        <item x="360"/>
        <item x="325"/>
        <item x="43"/>
        <item x="56"/>
        <item x="0"/>
        <item x="11"/>
        <item x="407"/>
        <item x="250"/>
        <item x="198"/>
        <item x="19"/>
        <item x="334"/>
        <item x="79"/>
        <item x="241"/>
        <item x="488"/>
        <item x="391"/>
        <item x="382"/>
        <item x="408"/>
        <item x="441"/>
        <item x="493"/>
        <item x="257"/>
        <item x="99"/>
        <item x="405"/>
        <item x="397"/>
        <item x="220"/>
        <item x="398"/>
        <item x="331"/>
        <item x="245"/>
        <item x="196"/>
        <item x="448"/>
        <item x="368"/>
        <item x="150"/>
        <item x="191"/>
        <item x="456"/>
        <item x="296"/>
        <item x="307"/>
        <item x="1"/>
        <item x="28"/>
        <item x="136"/>
        <item x="65"/>
        <item x="229"/>
        <item x="86"/>
        <item x="133"/>
        <item x="352"/>
        <item x="159"/>
        <item x="262"/>
        <item x="345"/>
        <item x="374"/>
        <item x="417"/>
        <item x="277"/>
        <item x="478"/>
        <item x="173"/>
        <item x="294"/>
        <item x="105"/>
        <item x="302"/>
        <item x="350"/>
        <item x="406"/>
        <item x="148"/>
        <item x="103"/>
        <item x="308"/>
        <item x="396"/>
        <item x="322"/>
        <item x="170"/>
        <item x="75"/>
        <item x="37"/>
        <item x="475"/>
        <item x="446"/>
        <item x="190"/>
        <item x="390"/>
        <item x="151"/>
        <item x="362"/>
        <item x="101"/>
        <item x="158"/>
        <item x="132"/>
        <item x="356"/>
        <item x="450"/>
        <item x="33"/>
        <item x="49"/>
        <item x="455"/>
        <item x="98"/>
        <item x="59"/>
        <item x="487"/>
        <item x="68"/>
        <item x="261"/>
        <item x="8"/>
        <item x="438"/>
        <item x="349"/>
        <item x="298"/>
        <item x="24"/>
        <item x="336"/>
        <item x="214"/>
        <item x="357"/>
        <item x="429"/>
        <item x="30"/>
        <item x="25"/>
        <item x="433"/>
        <item x="473"/>
        <item x="3"/>
        <item x="110"/>
        <item x="104"/>
        <item x="246"/>
        <item x="266"/>
        <item x="109"/>
        <item x="461"/>
        <item x="44"/>
        <item x="204"/>
        <item x="381"/>
        <item x="36"/>
        <item x="472"/>
        <item x="113"/>
        <item x="353"/>
        <item x="193"/>
        <item x="12"/>
        <item x="219"/>
        <item x="347"/>
        <item x="61"/>
        <item x="495"/>
        <item x="341"/>
        <item x="14"/>
        <item x="342"/>
        <item x="275"/>
        <item x="209"/>
        <item x="274"/>
        <item x="205"/>
        <item x="95"/>
        <item x="306"/>
        <item x="177"/>
        <item x="154"/>
        <item x="52"/>
        <item x="437"/>
        <item x="118"/>
        <item x="364"/>
        <item x="411"/>
        <item x="428"/>
        <item x="414"/>
        <item x="270"/>
        <item x="490"/>
        <item x="22"/>
        <item x="141"/>
        <item x="20"/>
        <item x="343"/>
        <item x="85"/>
        <item x="21"/>
        <item x="130"/>
        <item x="161"/>
        <item x="297"/>
        <item x="45"/>
        <item x="31"/>
        <item x="430"/>
        <item x="84"/>
        <item x="460"/>
        <item x="143"/>
        <item x="485"/>
        <item x="218"/>
        <item x="395"/>
        <item x="280"/>
        <item x="221"/>
        <item x="284"/>
        <item x="106"/>
        <item x="401"/>
        <item x="182"/>
        <item x="139"/>
        <item x="265"/>
        <item x="400"/>
        <item x="7"/>
        <item x="295"/>
        <item x="178"/>
        <item x="70"/>
        <item x="231"/>
        <item x="337"/>
        <item x="64"/>
        <item x="436"/>
        <item x="215"/>
        <item x="486"/>
        <item x="359"/>
        <item x="226"/>
        <item x="466"/>
        <item x="305"/>
        <item x="76"/>
        <item x="421"/>
        <item x="146"/>
        <item x="442"/>
        <item x="268"/>
        <item x="443"/>
        <item x="324"/>
        <item x="361"/>
        <item x="484"/>
        <item x="131"/>
        <item x="165"/>
        <item x="69"/>
        <item x="50"/>
        <item x="451"/>
        <item x="206"/>
        <item x="279"/>
        <item x="422"/>
        <item x="189"/>
        <item x="346"/>
        <item x="383"/>
        <item x="6"/>
        <item x="310"/>
        <item x="494"/>
        <item x="273"/>
        <item x="288"/>
        <item x="354"/>
        <item x="67"/>
        <item x="410"/>
        <item x="157"/>
        <item x="168"/>
        <item x="304"/>
        <item x="449"/>
        <item x="290"/>
        <item x="380"/>
        <item x="492"/>
        <item x="369"/>
        <item x="489"/>
        <item x="181"/>
        <item x="358"/>
        <item x="53"/>
        <item x="94"/>
        <item x="323"/>
        <item x="474"/>
        <item x="340"/>
        <item x="87"/>
        <item x="367"/>
        <item x="47"/>
        <item x="482"/>
        <item x="447"/>
        <item x="169"/>
        <item x="10"/>
        <item x="155"/>
        <item x="276"/>
        <item x="264"/>
        <item x="233"/>
        <item x="327"/>
        <item x="212"/>
        <item x="254"/>
        <item x="216"/>
        <item x="251"/>
        <item x="51"/>
        <item x="476"/>
        <item x="454"/>
        <item x="389"/>
        <item x="202"/>
        <item x="156"/>
        <item x="291"/>
        <item x="271"/>
        <item x="213"/>
        <item x="321"/>
        <item x="238"/>
        <item x="300"/>
        <item x="29"/>
        <item x="256"/>
        <item x="211"/>
        <item x="230"/>
        <item x="255"/>
        <item x="152"/>
        <item x="203"/>
        <item x="102"/>
        <item x="187"/>
        <item x="171"/>
        <item x="314"/>
        <item x="195"/>
        <item x="223"/>
        <item x="371"/>
        <item x="313"/>
        <item x="194"/>
        <item x="267"/>
        <item x="72"/>
        <item x="9"/>
        <item x="116"/>
        <item x="18"/>
        <item x="73"/>
        <item x="111"/>
        <item x="363"/>
        <item x="167"/>
        <item x="434"/>
        <item x="162"/>
        <item x="392"/>
        <item x="135"/>
        <item x="225"/>
        <item x="164"/>
        <item x="34"/>
        <item x="125"/>
        <item x="248"/>
        <item x="200"/>
        <item x="483"/>
        <item x="463"/>
        <item x="373"/>
        <item x="89"/>
        <item x="259"/>
        <item x="134"/>
        <item x="27"/>
        <item x="377"/>
        <item x="227"/>
        <item x="272"/>
        <item x="217"/>
        <item x="140"/>
        <item x="66"/>
        <item x="100"/>
        <item x="83"/>
        <item x="424"/>
        <item x="457"/>
        <item x="63"/>
        <item x="4"/>
        <item x="471"/>
        <item x="332"/>
        <item x="117"/>
        <item x="292"/>
        <item x="415"/>
        <item x="289"/>
        <item x="399"/>
        <item x="208"/>
        <item x="138"/>
        <item x="409"/>
        <item x="432"/>
        <item x="142"/>
        <item x="249"/>
        <item x="319"/>
        <item x="278"/>
        <item x="137"/>
        <item x="386"/>
        <item x="129"/>
        <item x="112"/>
        <item x="299"/>
        <item x="74"/>
        <item x="145"/>
        <item x="26"/>
        <item x="326"/>
        <item x="183"/>
        <item x="260"/>
        <item x="185"/>
        <item x="444"/>
        <item x="344"/>
        <item x="281"/>
        <item x="470"/>
        <item x="39"/>
        <item x="378"/>
        <item x="423"/>
        <item x="91"/>
        <item x="328"/>
        <item x="124"/>
        <item x="469"/>
        <item x="419"/>
        <item x="180"/>
        <item x="351"/>
        <item x="311"/>
        <item x="252"/>
        <item x="93"/>
        <item x="318"/>
        <item x="92"/>
        <item x="13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F9D6-EB5B-4F6D-B9DF-E0E8305AA77E}">
  <dimension ref="A3:B9"/>
  <sheetViews>
    <sheetView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6" t="s">
        <v>2824</v>
      </c>
      <c r="B3" t="s">
        <v>2827</v>
      </c>
    </row>
    <row r="4" spans="1:2" x14ac:dyDescent="0.3">
      <c r="A4" s="7" t="s">
        <v>38</v>
      </c>
      <c r="B4">
        <v>2195887.7799999998</v>
      </c>
    </row>
    <row r="5" spans="1:2" x14ac:dyDescent="0.3">
      <c r="A5" s="7" t="s">
        <v>25</v>
      </c>
      <c r="B5">
        <v>2166470.1099999994</v>
      </c>
    </row>
    <row r="6" spans="1:2" x14ac:dyDescent="0.3">
      <c r="A6" s="7" t="s">
        <v>54</v>
      </c>
      <c r="B6">
        <v>2319638.1999999993</v>
      </c>
    </row>
    <row r="7" spans="1:2" x14ac:dyDescent="0.3">
      <c r="A7" s="7" t="s">
        <v>63</v>
      </c>
      <c r="B7">
        <v>2107785.1700000013</v>
      </c>
    </row>
    <row r="8" spans="1:2" x14ac:dyDescent="0.3">
      <c r="A8" s="7" t="s">
        <v>2825</v>
      </c>
      <c r="B8">
        <v>289809.21000000002</v>
      </c>
    </row>
    <row r="9" spans="1:2" x14ac:dyDescent="0.3">
      <c r="A9" s="7" t="s">
        <v>2826</v>
      </c>
      <c r="B9">
        <v>9079590.4700000007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C905-76EC-4199-BAD6-71485B4522AA}">
  <dimension ref="A3:B8"/>
  <sheetViews>
    <sheetView workbookViewId="0">
      <selection activeCell="B4" sqref="B4"/>
    </sheetView>
  </sheetViews>
  <sheetFormatPr defaultRowHeight="14.4" x14ac:dyDescent="0.3"/>
  <cols>
    <col min="1" max="1" width="13.5546875" bestFit="1" customWidth="1"/>
    <col min="2" max="2" width="11.44140625" bestFit="1" customWidth="1"/>
  </cols>
  <sheetData>
    <row r="3" spans="1:2" x14ac:dyDescent="0.3">
      <c r="A3" s="6" t="s">
        <v>2824</v>
      </c>
      <c r="B3" t="s">
        <v>2827</v>
      </c>
    </row>
    <row r="4" spans="1:2" x14ac:dyDescent="0.3">
      <c r="A4" s="7" t="s">
        <v>41</v>
      </c>
      <c r="B4">
        <v>3128366.6499999976</v>
      </c>
    </row>
    <row r="5" spans="1:2" x14ac:dyDescent="0.3">
      <c r="A5" s="7" t="s">
        <v>816</v>
      </c>
      <c r="B5">
        <v>11462.74</v>
      </c>
    </row>
    <row r="6" spans="1:2" x14ac:dyDescent="0.3">
      <c r="A6" s="7" t="s">
        <v>28</v>
      </c>
      <c r="B6">
        <v>2771999.3200000008</v>
      </c>
    </row>
    <row r="7" spans="1:2" x14ac:dyDescent="0.3">
      <c r="A7" s="7" t="s">
        <v>74</v>
      </c>
      <c r="B7">
        <v>3167761.7599999961</v>
      </c>
    </row>
    <row r="8" spans="1:2" x14ac:dyDescent="0.3">
      <c r="A8" s="7" t="s">
        <v>2826</v>
      </c>
      <c r="B8">
        <v>9079590.4699999951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0E2A-B717-41B0-AFEA-08351FDC885A}">
  <dimension ref="A3:B23"/>
  <sheetViews>
    <sheetView workbookViewId="0">
      <selection activeCell="A3" sqref="A3"/>
    </sheetView>
  </sheetViews>
  <sheetFormatPr defaultRowHeight="14.4" x14ac:dyDescent="0.3"/>
  <cols>
    <col min="1" max="1" width="14.5546875" bestFit="1" customWidth="1"/>
    <col min="2" max="2" width="12.109375" bestFit="1" customWidth="1"/>
  </cols>
  <sheetData>
    <row r="3" spans="1:2" x14ac:dyDescent="0.3">
      <c r="A3" s="6" t="s">
        <v>2824</v>
      </c>
      <c r="B3" t="s">
        <v>2828</v>
      </c>
    </row>
    <row r="4" spans="1:2" x14ac:dyDescent="0.3">
      <c r="A4" s="7" t="s">
        <v>84</v>
      </c>
      <c r="B4">
        <v>108060.90000000001</v>
      </c>
    </row>
    <row r="5" spans="1:2" x14ac:dyDescent="0.3">
      <c r="A5" s="7" t="s">
        <v>166</v>
      </c>
      <c r="B5">
        <v>123751.76000000002</v>
      </c>
    </row>
    <row r="6" spans="1:2" x14ac:dyDescent="0.3">
      <c r="A6" s="7" t="s">
        <v>145</v>
      </c>
      <c r="B6">
        <v>174191.19</v>
      </c>
    </row>
    <row r="7" spans="1:2" x14ac:dyDescent="0.3">
      <c r="A7" s="7" t="s">
        <v>351</v>
      </c>
      <c r="B7">
        <v>115194.29999999996</v>
      </c>
    </row>
    <row r="8" spans="1:2" x14ac:dyDescent="0.3">
      <c r="A8" s="7" t="s">
        <v>190</v>
      </c>
      <c r="B8">
        <v>128791.04999999999</v>
      </c>
    </row>
    <row r="9" spans="1:2" x14ac:dyDescent="0.3">
      <c r="A9" s="7" t="s">
        <v>180</v>
      </c>
      <c r="B9">
        <v>149904.41999999993</v>
      </c>
    </row>
    <row r="10" spans="1:2" x14ac:dyDescent="0.3">
      <c r="A10" s="7" t="s">
        <v>237</v>
      </c>
      <c r="B10">
        <v>139520.94999999998</v>
      </c>
    </row>
    <row r="11" spans="1:2" x14ac:dyDescent="0.3">
      <c r="A11" s="7" t="s">
        <v>229</v>
      </c>
      <c r="B11">
        <v>164719.61000000002</v>
      </c>
    </row>
    <row r="12" spans="1:2" x14ac:dyDescent="0.3">
      <c r="A12" s="7" t="s">
        <v>175</v>
      </c>
      <c r="B12">
        <v>132987.66</v>
      </c>
    </row>
    <row r="13" spans="1:2" x14ac:dyDescent="0.3">
      <c r="A13" s="7" t="s">
        <v>185</v>
      </c>
      <c r="B13">
        <v>147997.16999999998</v>
      </c>
    </row>
    <row r="14" spans="1:2" x14ac:dyDescent="0.3">
      <c r="A14" s="7" t="s">
        <v>72</v>
      </c>
      <c r="B14">
        <v>118230.95000000001</v>
      </c>
    </row>
    <row r="15" spans="1:2" x14ac:dyDescent="0.3">
      <c r="A15" s="7" t="s">
        <v>64</v>
      </c>
      <c r="B15">
        <v>120157.15</v>
      </c>
    </row>
    <row r="16" spans="1:2" x14ac:dyDescent="0.3">
      <c r="A16" s="7" t="s">
        <v>39</v>
      </c>
      <c r="B16">
        <v>151998.94</v>
      </c>
    </row>
    <row r="17" spans="1:2" x14ac:dyDescent="0.3">
      <c r="A17" s="7" t="s">
        <v>122</v>
      </c>
      <c r="B17">
        <v>105356.17000000001</v>
      </c>
    </row>
    <row r="18" spans="1:2" x14ac:dyDescent="0.3">
      <c r="A18" s="7" t="s">
        <v>26</v>
      </c>
      <c r="B18">
        <v>240516.03999999998</v>
      </c>
    </row>
    <row r="19" spans="1:2" x14ac:dyDescent="0.3">
      <c r="A19" s="7" t="s">
        <v>248</v>
      </c>
      <c r="B19">
        <v>164550.94000000003</v>
      </c>
    </row>
    <row r="20" spans="1:2" x14ac:dyDescent="0.3">
      <c r="A20" s="7" t="s">
        <v>55</v>
      </c>
      <c r="B20">
        <v>114189.90999999996</v>
      </c>
    </row>
    <row r="21" spans="1:2" x14ac:dyDescent="0.3">
      <c r="A21" s="7" t="s">
        <v>136</v>
      </c>
      <c r="B21">
        <v>165625.9</v>
      </c>
    </row>
    <row r="22" spans="1:2" x14ac:dyDescent="0.3">
      <c r="A22" s="7" t="s">
        <v>99</v>
      </c>
      <c r="B22">
        <v>101474.46000000004</v>
      </c>
    </row>
    <row r="23" spans="1:2" x14ac:dyDescent="0.3">
      <c r="A23" s="7" t="s">
        <v>2826</v>
      </c>
      <c r="B23">
        <v>2667219.4699999993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0323-E835-4A9D-BE9D-B1B295602B28}">
  <dimension ref="A3:B10"/>
  <sheetViews>
    <sheetView workbookViewId="0">
      <selection activeCell="A4" sqref="A4"/>
    </sheetView>
  </sheetViews>
  <sheetFormatPr defaultRowHeight="14.4" x14ac:dyDescent="0.3"/>
  <cols>
    <col min="1" max="1" width="13.33203125" bestFit="1" customWidth="1"/>
    <col min="2" max="2" width="16" bestFit="1" customWidth="1"/>
  </cols>
  <sheetData>
    <row r="3" spans="1:2" x14ac:dyDescent="0.3">
      <c r="A3" s="6" t="s">
        <v>2824</v>
      </c>
      <c r="B3" t="s">
        <v>2831</v>
      </c>
    </row>
    <row r="4" spans="1:2" x14ac:dyDescent="0.3">
      <c r="A4" s="7" t="s">
        <v>50</v>
      </c>
      <c r="B4">
        <v>223</v>
      </c>
    </row>
    <row r="5" spans="1:2" x14ac:dyDescent="0.3">
      <c r="A5" s="7" t="s">
        <v>44</v>
      </c>
      <c r="B5">
        <v>204</v>
      </c>
    </row>
    <row r="6" spans="1:2" x14ac:dyDescent="0.3">
      <c r="A6" s="7" t="s">
        <v>31</v>
      </c>
      <c r="B6">
        <v>222</v>
      </c>
    </row>
    <row r="7" spans="1:2" x14ac:dyDescent="0.3">
      <c r="A7" s="7" t="s">
        <v>525</v>
      </c>
      <c r="B7">
        <v>1</v>
      </c>
    </row>
    <row r="8" spans="1:2" x14ac:dyDescent="0.3">
      <c r="A8" s="7" t="s">
        <v>59</v>
      </c>
      <c r="B8">
        <v>241</v>
      </c>
    </row>
    <row r="9" spans="1:2" x14ac:dyDescent="0.3">
      <c r="A9" s="7" t="s">
        <v>2825</v>
      </c>
      <c r="B9">
        <v>21</v>
      </c>
    </row>
    <row r="10" spans="1:2" x14ac:dyDescent="0.3">
      <c r="A10" s="7" t="s">
        <v>2826</v>
      </c>
      <c r="B10">
        <v>912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6070-BBF0-4245-B7E8-4EE1EEE6445D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6" t="s">
        <v>2824</v>
      </c>
      <c r="B3" t="s">
        <v>2827</v>
      </c>
    </row>
    <row r="4" spans="1:2" x14ac:dyDescent="0.3">
      <c r="A4" s="7" t="s">
        <v>2829</v>
      </c>
      <c r="B4">
        <v>4845060.2800000031</v>
      </c>
    </row>
    <row r="5" spans="1:2" x14ac:dyDescent="0.3">
      <c r="A5" s="7" t="s">
        <v>2830</v>
      </c>
      <c r="B5">
        <v>4234530.1899999976</v>
      </c>
    </row>
    <row r="6" spans="1:2" x14ac:dyDescent="0.3">
      <c r="A6" s="7" t="s">
        <v>2826</v>
      </c>
      <c r="B6">
        <v>9079590.4700000007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22C1-CDAF-4C39-AD53-180BA0D09C59}">
  <dimension ref="A3:B8"/>
  <sheetViews>
    <sheetView workbookViewId="0">
      <selection activeCell="I24" sqref="I24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6" t="s">
        <v>2824</v>
      </c>
      <c r="B3" t="s">
        <v>2831</v>
      </c>
    </row>
    <row r="4" spans="1:2" x14ac:dyDescent="0.3">
      <c r="A4" s="7" t="s">
        <v>155</v>
      </c>
      <c r="B4">
        <v>69</v>
      </c>
    </row>
    <row r="5" spans="1:2" x14ac:dyDescent="0.3">
      <c r="A5" s="7" t="s">
        <v>32</v>
      </c>
      <c r="B5">
        <v>686</v>
      </c>
    </row>
    <row r="6" spans="1:2" x14ac:dyDescent="0.3">
      <c r="A6" s="7" t="s">
        <v>111</v>
      </c>
      <c r="B6">
        <v>86</v>
      </c>
    </row>
    <row r="7" spans="1:2" x14ac:dyDescent="0.3">
      <c r="A7" s="7" t="s">
        <v>102</v>
      </c>
      <c r="B7">
        <v>71</v>
      </c>
    </row>
    <row r="8" spans="1:2" x14ac:dyDescent="0.3">
      <c r="A8" s="7" t="s">
        <v>2826</v>
      </c>
      <c r="B8">
        <v>912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06A7-21B3-484C-902E-1E23A222F4F0}">
  <dimension ref="C1:O15"/>
  <sheetViews>
    <sheetView tabSelected="1" topLeftCell="B1" workbookViewId="0">
      <selection activeCell="H1" sqref="H1"/>
    </sheetView>
  </sheetViews>
  <sheetFormatPr defaultRowHeight="14.4" x14ac:dyDescent="0.3"/>
  <cols>
    <col min="3" max="3" width="26.21875" customWidth="1"/>
    <col min="8" max="8" width="43.109375" customWidth="1"/>
    <col min="10" max="10" width="30.77734375" customWidth="1"/>
    <col min="12" max="12" width="22.88671875" customWidth="1"/>
    <col min="15" max="15" width="26" customWidth="1"/>
  </cols>
  <sheetData>
    <row r="1" spans="3:15" x14ac:dyDescent="0.3">
      <c r="E1" s="11"/>
      <c r="H1" s="12" t="s">
        <v>2838</v>
      </c>
    </row>
    <row r="3" spans="3:15" x14ac:dyDescent="0.3">
      <c r="C3" s="9" t="s">
        <v>2832</v>
      </c>
      <c r="D3" s="8"/>
      <c r="E3" s="8"/>
      <c r="F3" s="8"/>
      <c r="G3" s="8"/>
      <c r="H3" s="10" t="s">
        <v>2833</v>
      </c>
      <c r="I3" s="8"/>
      <c r="J3" s="10"/>
      <c r="L3" s="10" t="s">
        <v>2836</v>
      </c>
      <c r="O3" s="10"/>
    </row>
    <row r="15" spans="3:15" x14ac:dyDescent="0.3">
      <c r="C15" s="10" t="s">
        <v>2834</v>
      </c>
      <c r="H15" s="10" t="s">
        <v>2835</v>
      </c>
      <c r="J15" s="10"/>
      <c r="L15" s="10" t="s">
        <v>2837</v>
      </c>
      <c r="O15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3"/>
  <sheetViews>
    <sheetView zoomScale="63" workbookViewId="0">
      <selection activeCell="W15" sqref="W15"/>
    </sheetView>
  </sheetViews>
  <sheetFormatPr defaultRowHeight="14.4" x14ac:dyDescent="0.3"/>
  <cols>
    <col min="1" max="22" width="16" customWidth="1"/>
  </cols>
  <sheetData>
    <row r="1" spans="1:22" ht="22.35" customHeight="1" x14ac:dyDescent="0.3">
      <c r="A1" s="1" t="s">
        <v>0</v>
      </c>
      <c r="B1" s="1" t="s">
        <v>1</v>
      </c>
      <c r="C1" s="1" t="s">
        <v>2</v>
      </c>
      <c r="D1" s="1" t="s">
        <v>2823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t="s">
        <v>21</v>
      </c>
      <c r="B2" s="3">
        <v>45494</v>
      </c>
      <c r="C2" s="4">
        <v>45500</v>
      </c>
      <c r="D2" s="5">
        <f>C2-B2</f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</row>
    <row r="3" spans="1:22" x14ac:dyDescent="0.3">
      <c r="A3" t="s">
        <v>34</v>
      </c>
      <c r="B3" s="4">
        <v>45535</v>
      </c>
      <c r="C3" s="3">
        <v>45421</v>
      </c>
      <c r="D3" s="5">
        <f t="shared" ref="D3:D66" si="0">C3-B3</f>
        <v>-114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</row>
    <row r="4" spans="1:22" x14ac:dyDescent="0.3">
      <c r="A4" t="s">
        <v>45</v>
      </c>
      <c r="B4" s="4">
        <v>45451</v>
      </c>
      <c r="C4" s="3">
        <v>45458</v>
      </c>
      <c r="D4" s="5">
        <f t="shared" si="0"/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</row>
    <row r="5" spans="1:22" x14ac:dyDescent="0.3">
      <c r="A5" t="s">
        <v>51</v>
      </c>
      <c r="B5" s="4">
        <v>45624</v>
      </c>
      <c r="C5" s="4">
        <v>45625</v>
      </c>
      <c r="D5" s="5">
        <f t="shared" si="0"/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</row>
    <row r="6" spans="1:22" x14ac:dyDescent="0.3">
      <c r="A6" t="s">
        <v>60</v>
      </c>
      <c r="B6" s="3">
        <v>45898</v>
      </c>
      <c r="C6" s="4">
        <v>45666</v>
      </c>
      <c r="D6" s="5">
        <f t="shared" si="0"/>
        <v>-232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</row>
    <row r="7" spans="1:22" x14ac:dyDescent="0.3">
      <c r="A7" t="s">
        <v>69</v>
      </c>
      <c r="B7" s="4">
        <v>45436</v>
      </c>
      <c r="C7" s="4">
        <v>45440</v>
      </c>
      <c r="D7" s="5">
        <f t="shared" si="0"/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</row>
    <row r="8" spans="1:22" x14ac:dyDescent="0.3">
      <c r="A8" t="s">
        <v>77</v>
      </c>
      <c r="B8" s="4">
        <v>45757</v>
      </c>
      <c r="C8" s="4">
        <v>45763</v>
      </c>
      <c r="D8" s="5">
        <f t="shared" si="0"/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</row>
    <row r="9" spans="1:22" x14ac:dyDescent="0.3">
      <c r="A9" t="s">
        <v>82</v>
      </c>
      <c r="B9" s="4">
        <v>45711</v>
      </c>
      <c r="C9" s="4">
        <v>45714</v>
      </c>
      <c r="D9" s="5">
        <f t="shared" si="0"/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</row>
    <row r="10" spans="1:22" x14ac:dyDescent="0.3">
      <c r="A10" t="s">
        <v>87</v>
      </c>
      <c r="B10" s="4">
        <v>45601</v>
      </c>
      <c r="C10" s="4">
        <v>45606</v>
      </c>
      <c r="D10" s="5">
        <f t="shared" si="0"/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</row>
    <row r="11" spans="1:22" x14ac:dyDescent="0.3">
      <c r="A11" t="s">
        <v>93</v>
      </c>
      <c r="B11" s="4">
        <v>45847</v>
      </c>
      <c r="C11" s="4">
        <v>45912</v>
      </c>
      <c r="D11" s="5">
        <f t="shared" si="0"/>
        <v>65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</row>
    <row r="12" spans="1:22" x14ac:dyDescent="0.3">
      <c r="A12" t="s">
        <v>97</v>
      </c>
      <c r="B12" s="3">
        <v>45797</v>
      </c>
      <c r="C12" s="4">
        <v>45797</v>
      </c>
      <c r="D12" s="5">
        <f t="shared" si="0"/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</row>
    <row r="13" spans="1:22" x14ac:dyDescent="0.3">
      <c r="A13" t="s">
        <v>104</v>
      </c>
      <c r="B13" s="4">
        <v>45495</v>
      </c>
      <c r="C13" s="4">
        <v>45496</v>
      </c>
      <c r="D13" s="5">
        <f t="shared" si="0"/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</row>
    <row r="14" spans="1:22" x14ac:dyDescent="0.3">
      <c r="A14" t="s">
        <v>107</v>
      </c>
      <c r="B14" s="3">
        <v>45646</v>
      </c>
      <c r="C14" s="4">
        <v>45647</v>
      </c>
      <c r="D14" s="5">
        <f t="shared" si="0"/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</row>
    <row r="15" spans="1:22" x14ac:dyDescent="0.3">
      <c r="A15" t="s">
        <v>112</v>
      </c>
      <c r="B15" s="4">
        <v>46001</v>
      </c>
      <c r="C15" s="4">
        <v>45946</v>
      </c>
      <c r="D15" s="5">
        <f t="shared" si="0"/>
        <v>-55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</row>
    <row r="16" spans="1:22" x14ac:dyDescent="0.3">
      <c r="A16" t="s">
        <v>116</v>
      </c>
      <c r="B16" s="3">
        <v>45653</v>
      </c>
      <c r="C16" s="4">
        <v>45654</v>
      </c>
      <c r="D16" s="5">
        <f t="shared" si="0"/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</row>
    <row r="17" spans="1:22" x14ac:dyDescent="0.3">
      <c r="A17" t="s">
        <v>120</v>
      </c>
      <c r="B17" s="4">
        <v>45482</v>
      </c>
      <c r="C17" s="3">
        <v>45542</v>
      </c>
      <c r="D17" s="5">
        <f t="shared" si="0"/>
        <v>60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</row>
    <row r="18" spans="1:22" x14ac:dyDescent="0.3">
      <c r="A18" t="s">
        <v>126</v>
      </c>
      <c r="B18" s="4">
        <v>45420</v>
      </c>
      <c r="C18" s="4">
        <v>45427</v>
      </c>
      <c r="D18" s="5">
        <f t="shared" si="0"/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</row>
    <row r="19" spans="1:22" x14ac:dyDescent="0.3">
      <c r="A19" t="s">
        <v>130</v>
      </c>
      <c r="B19" s="4">
        <v>45298</v>
      </c>
      <c r="C19" s="4">
        <v>45505</v>
      </c>
      <c r="D19" s="5">
        <f t="shared" si="0"/>
        <v>207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</row>
    <row r="20" spans="1:22" x14ac:dyDescent="0.3">
      <c r="A20" t="s">
        <v>134</v>
      </c>
      <c r="B20" s="4">
        <v>45853</v>
      </c>
      <c r="C20" s="4">
        <v>45855</v>
      </c>
      <c r="D20" s="5">
        <f t="shared" si="0"/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</row>
    <row r="21" spans="1:22" x14ac:dyDescent="0.3">
      <c r="A21" t="s">
        <v>139</v>
      </c>
      <c r="B21" s="4">
        <v>45500</v>
      </c>
      <c r="C21" s="3">
        <v>45504</v>
      </c>
      <c r="D21" s="5">
        <f t="shared" si="0"/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</row>
    <row r="22" spans="1:22" x14ac:dyDescent="0.3">
      <c r="A22" t="s">
        <v>143</v>
      </c>
      <c r="B22" s="4">
        <v>45678</v>
      </c>
      <c r="C22" s="3">
        <v>45680</v>
      </c>
      <c r="D22" s="5">
        <f t="shared" si="0"/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</row>
    <row r="23" spans="1:22" x14ac:dyDescent="0.3">
      <c r="A23" t="s">
        <v>148</v>
      </c>
      <c r="B23" s="4">
        <v>45681</v>
      </c>
      <c r="C23" s="4">
        <v>45687</v>
      </c>
      <c r="D23" s="5">
        <f t="shared" si="0"/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</row>
    <row r="24" spans="1:22" x14ac:dyDescent="0.3">
      <c r="A24" t="s">
        <v>151</v>
      </c>
      <c r="B24" s="3">
        <v>45676</v>
      </c>
      <c r="C24" s="4">
        <v>45678</v>
      </c>
      <c r="D24" s="5">
        <f t="shared" si="0"/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</row>
    <row r="25" spans="1:22" x14ac:dyDescent="0.3">
      <c r="A25" t="s">
        <v>156</v>
      </c>
      <c r="B25" s="3">
        <v>45898</v>
      </c>
      <c r="C25" s="4">
        <v>45900</v>
      </c>
      <c r="D25" s="5">
        <f t="shared" si="0"/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</row>
    <row r="26" spans="1:22" x14ac:dyDescent="0.3">
      <c r="A26" t="s">
        <v>160</v>
      </c>
      <c r="B26" s="4">
        <v>45385</v>
      </c>
      <c r="C26" s="4">
        <v>45352</v>
      </c>
      <c r="D26" s="5">
        <f t="shared" si="0"/>
        <v>-33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</row>
    <row r="27" spans="1:22" x14ac:dyDescent="0.3">
      <c r="A27" t="s">
        <v>164</v>
      </c>
      <c r="B27" s="4">
        <v>45606</v>
      </c>
      <c r="C27" s="4">
        <v>45584</v>
      </c>
      <c r="D27" s="5">
        <f t="shared" si="0"/>
        <v>-22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</row>
    <row r="28" spans="1:22" x14ac:dyDescent="0.3">
      <c r="A28" t="s">
        <v>169</v>
      </c>
      <c r="B28" s="4">
        <v>45619</v>
      </c>
      <c r="C28" s="3">
        <v>45619</v>
      </c>
      <c r="D28" s="5">
        <f t="shared" si="0"/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</row>
    <row r="29" spans="1:22" x14ac:dyDescent="0.3">
      <c r="A29" t="s">
        <v>173</v>
      </c>
      <c r="B29" s="3">
        <v>45929</v>
      </c>
      <c r="C29" s="4">
        <v>45787</v>
      </c>
      <c r="D29" s="5">
        <f t="shared" si="0"/>
        <v>-142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</row>
    <row r="30" spans="1:22" x14ac:dyDescent="0.3">
      <c r="A30" t="s">
        <v>178</v>
      </c>
      <c r="B30" s="4">
        <v>45606</v>
      </c>
      <c r="C30" s="4">
        <v>45583</v>
      </c>
      <c r="D30" s="5">
        <f t="shared" si="0"/>
        <v>-23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</row>
    <row r="31" spans="1:22" x14ac:dyDescent="0.3">
      <c r="A31" t="s">
        <v>183</v>
      </c>
      <c r="B31" s="3">
        <v>45882</v>
      </c>
      <c r="C31" s="4">
        <v>45882</v>
      </c>
      <c r="D31" s="5">
        <f t="shared" si="0"/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</row>
    <row r="32" spans="1:22" x14ac:dyDescent="0.3">
      <c r="A32" t="s">
        <v>188</v>
      </c>
      <c r="B32" s="3">
        <v>45537</v>
      </c>
      <c r="C32" s="4">
        <v>45334</v>
      </c>
      <c r="D32" s="5">
        <f t="shared" si="0"/>
        <v>-203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</row>
    <row r="33" spans="1:22" x14ac:dyDescent="0.3">
      <c r="A33" t="s">
        <v>193</v>
      </c>
      <c r="B33" s="4">
        <v>45823</v>
      </c>
      <c r="C33" s="4">
        <v>45827</v>
      </c>
      <c r="D33" s="5">
        <f t="shared" si="0"/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</row>
    <row r="34" spans="1:22" x14ac:dyDescent="0.3">
      <c r="A34" t="s">
        <v>196</v>
      </c>
      <c r="B34" s="4">
        <v>45618</v>
      </c>
      <c r="C34" s="4">
        <v>45622</v>
      </c>
      <c r="D34" s="5">
        <f t="shared" si="0"/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R34">
        <v>9002.81</v>
      </c>
      <c r="S34">
        <v>7529.92</v>
      </c>
      <c r="T34">
        <v>1472.89</v>
      </c>
      <c r="U34" t="s">
        <v>32</v>
      </c>
      <c r="V34" t="s">
        <v>33</v>
      </c>
    </row>
    <row r="35" spans="1:22" x14ac:dyDescent="0.3">
      <c r="A35" t="s">
        <v>199</v>
      </c>
      <c r="B35" s="4">
        <v>45495</v>
      </c>
      <c r="C35" s="4">
        <v>45500</v>
      </c>
      <c r="D35" s="5">
        <f t="shared" si="0"/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</row>
    <row r="36" spans="1:22" x14ac:dyDescent="0.3">
      <c r="A36" t="s">
        <v>202</v>
      </c>
      <c r="B36" s="4">
        <v>45688</v>
      </c>
      <c r="C36" s="4">
        <v>45779</v>
      </c>
      <c r="D36" s="5">
        <f t="shared" si="0"/>
        <v>91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</row>
    <row r="37" spans="1:22" x14ac:dyDescent="0.3">
      <c r="A37" t="s">
        <v>205</v>
      </c>
      <c r="B37" s="4">
        <v>45441</v>
      </c>
      <c r="C37" s="3">
        <v>45441</v>
      </c>
      <c r="D37" s="5">
        <f t="shared" si="0"/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</row>
    <row r="38" spans="1:22" x14ac:dyDescent="0.3">
      <c r="A38" t="s">
        <v>208</v>
      </c>
      <c r="B38" s="4">
        <v>45590</v>
      </c>
      <c r="C38" s="3">
        <v>45593</v>
      </c>
      <c r="D38" s="5">
        <f t="shared" si="0"/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</row>
    <row r="39" spans="1:22" x14ac:dyDescent="0.3">
      <c r="A39" t="s">
        <v>211</v>
      </c>
      <c r="B39" s="4">
        <v>45867</v>
      </c>
      <c r="C39" s="4">
        <v>45867</v>
      </c>
      <c r="D39" s="5">
        <f t="shared" si="0"/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214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</row>
    <row r="40" spans="1:22" x14ac:dyDescent="0.3">
      <c r="A40" t="s">
        <v>215</v>
      </c>
      <c r="B40" s="4">
        <v>45460</v>
      </c>
      <c r="C40" s="4">
        <v>45465</v>
      </c>
      <c r="D40" s="5">
        <f t="shared" si="0"/>
        <v>5</v>
      </c>
      <c r="E40" t="s">
        <v>216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217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</row>
    <row r="41" spans="1:22" x14ac:dyDescent="0.3">
      <c r="A41" t="s">
        <v>218</v>
      </c>
      <c r="B41" s="4">
        <v>45637</v>
      </c>
      <c r="C41" s="4">
        <v>45608</v>
      </c>
      <c r="D41" s="5">
        <f t="shared" si="0"/>
        <v>-29</v>
      </c>
      <c r="E41" t="s">
        <v>219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220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</row>
    <row r="42" spans="1:22" x14ac:dyDescent="0.3">
      <c r="A42" t="s">
        <v>221</v>
      </c>
      <c r="B42" s="4">
        <v>45575</v>
      </c>
      <c r="C42" s="3">
        <v>45581</v>
      </c>
      <c r="D42" s="5">
        <f t="shared" si="0"/>
        <v>6</v>
      </c>
      <c r="E42" t="s">
        <v>222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223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</row>
    <row r="43" spans="1:22" x14ac:dyDescent="0.3">
      <c r="A43" t="s">
        <v>224</v>
      </c>
      <c r="B43" s="4">
        <v>45363</v>
      </c>
      <c r="C43" s="4">
        <v>45368</v>
      </c>
      <c r="D43" s="5">
        <f t="shared" si="0"/>
        <v>5</v>
      </c>
      <c r="E43" t="s">
        <v>225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226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</row>
    <row r="44" spans="1:22" x14ac:dyDescent="0.3">
      <c r="A44" t="s">
        <v>227</v>
      </c>
      <c r="B44" s="4">
        <v>45940</v>
      </c>
      <c r="C44" s="3">
        <v>45945</v>
      </c>
      <c r="D44" s="5">
        <f t="shared" si="0"/>
        <v>5</v>
      </c>
      <c r="E44" t="s">
        <v>228</v>
      </c>
      <c r="F44" t="s">
        <v>53</v>
      </c>
      <c r="G44" t="s">
        <v>90</v>
      </c>
      <c r="H44" t="s">
        <v>38</v>
      </c>
      <c r="I44" t="s">
        <v>229</v>
      </c>
      <c r="J44" t="s">
        <v>230</v>
      </c>
      <c r="K44" t="s">
        <v>74</v>
      </c>
      <c r="L44" t="s">
        <v>171</v>
      </c>
      <c r="M44" t="s">
        <v>231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</row>
    <row r="45" spans="1:22" x14ac:dyDescent="0.3">
      <c r="A45" t="s">
        <v>232</v>
      </c>
      <c r="B45" s="4">
        <v>45481</v>
      </c>
      <c r="C45" s="4">
        <v>45487</v>
      </c>
      <c r="D45" s="5">
        <f t="shared" si="0"/>
        <v>6</v>
      </c>
      <c r="E45" t="s">
        <v>233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234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</row>
    <row r="46" spans="1:22" x14ac:dyDescent="0.3">
      <c r="A46" t="s">
        <v>235</v>
      </c>
      <c r="B46" s="4">
        <v>45465</v>
      </c>
      <c r="C46" s="4">
        <v>45468</v>
      </c>
      <c r="D46" s="5">
        <f t="shared" si="0"/>
        <v>3</v>
      </c>
      <c r="E46" t="s">
        <v>236</v>
      </c>
      <c r="F46" t="s">
        <v>141</v>
      </c>
      <c r="G46" t="s">
        <v>37</v>
      </c>
      <c r="H46" t="s">
        <v>25</v>
      </c>
      <c r="I46" t="s">
        <v>237</v>
      </c>
      <c r="J46" t="s">
        <v>238</v>
      </c>
      <c r="K46" t="s">
        <v>41</v>
      </c>
      <c r="L46" t="s">
        <v>66</v>
      </c>
      <c r="M46" t="s">
        <v>239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</row>
    <row r="47" spans="1:22" x14ac:dyDescent="0.3">
      <c r="A47" t="s">
        <v>240</v>
      </c>
      <c r="B47" s="3">
        <v>45309</v>
      </c>
      <c r="C47" s="4">
        <v>45315</v>
      </c>
      <c r="D47" s="5">
        <f t="shared" si="0"/>
        <v>6</v>
      </c>
      <c r="E47" t="s">
        <v>241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242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</row>
    <row r="48" spans="1:22" x14ac:dyDescent="0.3">
      <c r="A48" t="s">
        <v>243</v>
      </c>
      <c r="B48" s="4">
        <v>45492</v>
      </c>
      <c r="C48" s="4">
        <v>45492</v>
      </c>
      <c r="D48" s="5">
        <f t="shared" si="0"/>
        <v>0</v>
      </c>
      <c r="E48" t="s">
        <v>244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245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</row>
    <row r="49" spans="1:22" x14ac:dyDescent="0.3">
      <c r="A49" t="s">
        <v>246</v>
      </c>
      <c r="B49" s="4">
        <v>45634</v>
      </c>
      <c r="C49" s="4">
        <v>45634</v>
      </c>
      <c r="D49" s="5">
        <f t="shared" si="0"/>
        <v>0</v>
      </c>
      <c r="E49" t="s">
        <v>247</v>
      </c>
      <c r="F49" t="s">
        <v>118</v>
      </c>
      <c r="G49" t="s">
        <v>90</v>
      </c>
      <c r="H49" t="s">
        <v>54</v>
      </c>
      <c r="I49" t="s">
        <v>248</v>
      </c>
      <c r="J49" t="s">
        <v>249</v>
      </c>
      <c r="K49" t="s">
        <v>28</v>
      </c>
      <c r="L49" t="s">
        <v>124</v>
      </c>
      <c r="M49" t="s">
        <v>250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</row>
    <row r="50" spans="1:22" x14ac:dyDescent="0.3">
      <c r="A50" t="s">
        <v>251</v>
      </c>
      <c r="B50" s="3">
        <v>45687</v>
      </c>
      <c r="C50" s="3">
        <v>45779</v>
      </c>
      <c r="D50" s="5">
        <f t="shared" si="0"/>
        <v>92</v>
      </c>
      <c r="E50" t="s">
        <v>252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253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</row>
    <row r="51" spans="1:22" x14ac:dyDescent="0.3">
      <c r="A51" t="s">
        <v>254</v>
      </c>
      <c r="B51" s="4">
        <v>45447</v>
      </c>
      <c r="C51" s="3">
        <v>45395</v>
      </c>
      <c r="D51" s="5">
        <f t="shared" si="0"/>
        <v>-52</v>
      </c>
      <c r="E51" t="s">
        <v>255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256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</row>
    <row r="52" spans="1:22" x14ac:dyDescent="0.3">
      <c r="A52" t="s">
        <v>257</v>
      </c>
      <c r="B52" s="4">
        <v>45788</v>
      </c>
      <c r="C52" s="3">
        <v>45796</v>
      </c>
      <c r="D52" s="5">
        <f t="shared" si="0"/>
        <v>8</v>
      </c>
      <c r="E52" t="s">
        <v>258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259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</row>
    <row r="53" spans="1:22" x14ac:dyDescent="0.3">
      <c r="A53" t="s">
        <v>260</v>
      </c>
      <c r="B53" s="3">
        <v>45406</v>
      </c>
      <c r="C53" s="3">
        <v>45411</v>
      </c>
      <c r="D53" s="5">
        <f t="shared" si="0"/>
        <v>5</v>
      </c>
      <c r="E53" t="s">
        <v>261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262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</row>
    <row r="54" spans="1:22" x14ac:dyDescent="0.3">
      <c r="A54" t="s">
        <v>263</v>
      </c>
      <c r="B54" s="4">
        <v>45591</v>
      </c>
      <c r="C54" s="4">
        <v>45593</v>
      </c>
      <c r="D54" s="5">
        <f t="shared" si="0"/>
        <v>2</v>
      </c>
      <c r="E54" t="s">
        <v>264</v>
      </c>
      <c r="F54" t="s">
        <v>265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266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</row>
    <row r="55" spans="1:22" x14ac:dyDescent="0.3">
      <c r="A55" t="s">
        <v>267</v>
      </c>
      <c r="B55" s="3">
        <v>45747</v>
      </c>
      <c r="C55" s="4">
        <v>45747</v>
      </c>
      <c r="D55" s="5">
        <f t="shared" si="0"/>
        <v>0</v>
      </c>
      <c r="E55" t="s">
        <v>268</v>
      </c>
      <c r="F55" t="s">
        <v>265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269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</row>
    <row r="56" spans="1:22" x14ac:dyDescent="0.3">
      <c r="A56" t="s">
        <v>270</v>
      </c>
      <c r="B56" s="3">
        <v>45807</v>
      </c>
      <c r="C56" s="4">
        <v>45694</v>
      </c>
      <c r="D56" s="5">
        <f t="shared" si="0"/>
        <v>-113</v>
      </c>
      <c r="E56" t="s">
        <v>271</v>
      </c>
      <c r="F56" t="s">
        <v>53</v>
      </c>
      <c r="G56" t="s">
        <v>90</v>
      </c>
      <c r="H56" t="s">
        <v>54</v>
      </c>
      <c r="I56" t="s">
        <v>248</v>
      </c>
      <c r="J56" t="s">
        <v>249</v>
      </c>
      <c r="K56" t="s">
        <v>28</v>
      </c>
      <c r="L56" t="s">
        <v>91</v>
      </c>
      <c r="M56" t="s">
        <v>272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</row>
    <row r="57" spans="1:22" x14ac:dyDescent="0.3">
      <c r="A57" t="s">
        <v>273</v>
      </c>
      <c r="B57" s="4">
        <v>45664</v>
      </c>
      <c r="C57" s="4">
        <v>45723</v>
      </c>
      <c r="D57" s="5">
        <f t="shared" si="0"/>
        <v>59</v>
      </c>
      <c r="E57" t="s">
        <v>274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275</v>
      </c>
      <c r="M57" t="s">
        <v>276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</row>
    <row r="58" spans="1:22" x14ac:dyDescent="0.3">
      <c r="A58" t="s">
        <v>277</v>
      </c>
      <c r="B58" s="4">
        <v>45778</v>
      </c>
      <c r="C58" s="4">
        <v>45809</v>
      </c>
      <c r="D58" s="5">
        <f t="shared" si="0"/>
        <v>31</v>
      </c>
      <c r="E58" t="s">
        <v>278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279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</row>
    <row r="59" spans="1:22" x14ac:dyDescent="0.3">
      <c r="A59" t="s">
        <v>280</v>
      </c>
      <c r="B59" s="4">
        <v>45475</v>
      </c>
      <c r="C59" s="3">
        <v>45337</v>
      </c>
      <c r="D59" s="5">
        <f t="shared" si="0"/>
        <v>-138</v>
      </c>
      <c r="E59" t="s">
        <v>281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282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</row>
    <row r="60" spans="1:22" x14ac:dyDescent="0.3">
      <c r="A60" t="s">
        <v>283</v>
      </c>
      <c r="B60" s="4">
        <v>45300</v>
      </c>
      <c r="C60" s="4">
        <v>45482</v>
      </c>
      <c r="D60" s="5">
        <f t="shared" si="0"/>
        <v>182</v>
      </c>
      <c r="E60" t="s">
        <v>284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285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</row>
    <row r="61" spans="1:22" x14ac:dyDescent="0.3">
      <c r="A61" t="s">
        <v>286</v>
      </c>
      <c r="B61" s="4">
        <v>45493</v>
      </c>
      <c r="C61" s="3">
        <v>45498</v>
      </c>
      <c r="D61" s="5">
        <f t="shared" si="0"/>
        <v>5</v>
      </c>
      <c r="E61" t="s">
        <v>287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288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</row>
    <row r="62" spans="1:22" x14ac:dyDescent="0.3">
      <c r="A62" t="s">
        <v>289</v>
      </c>
      <c r="B62" s="4">
        <v>45486</v>
      </c>
      <c r="C62" s="4">
        <v>45492</v>
      </c>
      <c r="D62" s="5">
        <f t="shared" si="0"/>
        <v>6</v>
      </c>
      <c r="E62" t="s">
        <v>290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291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</row>
    <row r="63" spans="1:22" x14ac:dyDescent="0.3">
      <c r="A63" t="s">
        <v>292</v>
      </c>
      <c r="B63" s="3">
        <v>45398</v>
      </c>
      <c r="C63" s="4">
        <v>45398</v>
      </c>
      <c r="D63" s="5">
        <f t="shared" si="0"/>
        <v>0</v>
      </c>
      <c r="E63" t="s">
        <v>293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294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</row>
    <row r="64" spans="1:22" x14ac:dyDescent="0.3">
      <c r="A64" t="s">
        <v>295</v>
      </c>
      <c r="B64" s="3">
        <v>45595</v>
      </c>
      <c r="C64" s="4">
        <v>45333</v>
      </c>
      <c r="D64" s="5">
        <f t="shared" si="0"/>
        <v>-262</v>
      </c>
      <c r="E64" t="s">
        <v>296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297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</row>
    <row r="65" spans="1:22" x14ac:dyDescent="0.3">
      <c r="A65" t="s">
        <v>298</v>
      </c>
      <c r="B65" s="4">
        <v>45316</v>
      </c>
      <c r="C65" s="4">
        <v>45293</v>
      </c>
      <c r="D65" s="5">
        <f t="shared" si="0"/>
        <v>-23</v>
      </c>
      <c r="E65" t="s">
        <v>299</v>
      </c>
      <c r="F65" t="s">
        <v>132</v>
      </c>
      <c r="G65" t="s">
        <v>95</v>
      </c>
      <c r="H65" t="s">
        <v>25</v>
      </c>
      <c r="I65" t="s">
        <v>237</v>
      </c>
      <c r="J65" t="s">
        <v>238</v>
      </c>
      <c r="K65" t="s">
        <v>28</v>
      </c>
      <c r="L65" t="s">
        <v>153</v>
      </c>
      <c r="M65" t="s">
        <v>300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</row>
    <row r="66" spans="1:22" x14ac:dyDescent="0.3">
      <c r="A66" t="s">
        <v>301</v>
      </c>
      <c r="B66" s="4">
        <v>45649</v>
      </c>
      <c r="C66" s="4">
        <v>45655</v>
      </c>
      <c r="D66" s="5">
        <f t="shared" si="0"/>
        <v>6</v>
      </c>
      <c r="E66" t="s">
        <v>302</v>
      </c>
      <c r="F66" t="s">
        <v>128</v>
      </c>
      <c r="G66" t="s">
        <v>90</v>
      </c>
      <c r="H66" t="s">
        <v>38</v>
      </c>
      <c r="I66" t="s">
        <v>229</v>
      </c>
      <c r="J66" t="s">
        <v>230</v>
      </c>
      <c r="K66" t="s">
        <v>28</v>
      </c>
      <c r="L66" t="s">
        <v>29</v>
      </c>
      <c r="M66" t="s">
        <v>303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</row>
    <row r="67" spans="1:22" x14ac:dyDescent="0.3">
      <c r="A67" t="s">
        <v>304</v>
      </c>
      <c r="B67" s="3">
        <v>45404</v>
      </c>
      <c r="C67" s="4">
        <v>45409</v>
      </c>
      <c r="D67" s="5">
        <f t="shared" ref="D67:D130" si="1">C67-B67</f>
        <v>5</v>
      </c>
      <c r="E67" t="s">
        <v>305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306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</row>
    <row r="68" spans="1:22" x14ac:dyDescent="0.3">
      <c r="A68" t="s">
        <v>307</v>
      </c>
      <c r="B68" s="4">
        <v>45897</v>
      </c>
      <c r="C68" s="3">
        <v>45666</v>
      </c>
      <c r="D68" s="5">
        <f t="shared" si="1"/>
        <v>-231</v>
      </c>
      <c r="E68" t="s">
        <v>308</v>
      </c>
      <c r="F68" t="s">
        <v>23</v>
      </c>
      <c r="G68" t="s">
        <v>37</v>
      </c>
      <c r="H68" t="s">
        <v>54</v>
      </c>
      <c r="I68" t="s">
        <v>248</v>
      </c>
      <c r="J68" t="s">
        <v>249</v>
      </c>
      <c r="K68" t="s">
        <v>74</v>
      </c>
      <c r="L68" t="s">
        <v>75</v>
      </c>
      <c r="M68" t="s">
        <v>309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</row>
    <row r="69" spans="1:22" x14ac:dyDescent="0.3">
      <c r="A69" t="s">
        <v>310</v>
      </c>
      <c r="B69" s="3">
        <v>45718</v>
      </c>
      <c r="C69" s="4">
        <v>45840</v>
      </c>
      <c r="D69" s="5">
        <f t="shared" si="1"/>
        <v>122</v>
      </c>
      <c r="E69" t="s">
        <v>311</v>
      </c>
      <c r="F69" t="s">
        <v>265</v>
      </c>
      <c r="G69" t="s">
        <v>24</v>
      </c>
      <c r="H69" t="s">
        <v>25</v>
      </c>
      <c r="I69" t="s">
        <v>237</v>
      </c>
      <c r="J69" t="s">
        <v>238</v>
      </c>
      <c r="K69" t="s">
        <v>28</v>
      </c>
      <c r="L69" t="s">
        <v>29</v>
      </c>
      <c r="M69" t="s">
        <v>312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</row>
    <row r="70" spans="1:22" x14ac:dyDescent="0.3">
      <c r="A70" t="s">
        <v>313</v>
      </c>
      <c r="B70" s="4">
        <v>45606</v>
      </c>
      <c r="C70" s="3">
        <v>45609</v>
      </c>
      <c r="D70" s="5">
        <f t="shared" si="1"/>
        <v>3</v>
      </c>
      <c r="E70" t="s">
        <v>314</v>
      </c>
      <c r="F70" t="s">
        <v>47</v>
      </c>
      <c r="G70" t="s">
        <v>90</v>
      </c>
      <c r="H70" t="s">
        <v>38</v>
      </c>
      <c r="I70" t="s">
        <v>229</v>
      </c>
      <c r="J70" t="s">
        <v>230</v>
      </c>
      <c r="K70" t="s">
        <v>28</v>
      </c>
      <c r="L70" t="s">
        <v>124</v>
      </c>
      <c r="M70" t="s">
        <v>315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</row>
    <row r="71" spans="1:22" x14ac:dyDescent="0.3">
      <c r="A71" t="s">
        <v>316</v>
      </c>
      <c r="B71" s="3">
        <v>45539</v>
      </c>
      <c r="C71" s="4">
        <v>45396</v>
      </c>
      <c r="D71" s="5">
        <f t="shared" si="1"/>
        <v>-143</v>
      </c>
      <c r="E71" t="s">
        <v>317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275</v>
      </c>
      <c r="M71" t="s">
        <v>318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</row>
    <row r="72" spans="1:22" x14ac:dyDescent="0.3">
      <c r="A72" t="s">
        <v>319</v>
      </c>
      <c r="B72" s="4">
        <v>45891</v>
      </c>
      <c r="C72" s="3">
        <v>45896</v>
      </c>
      <c r="D72" s="5">
        <f t="shared" si="1"/>
        <v>5</v>
      </c>
      <c r="E72" t="s">
        <v>320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321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</row>
    <row r="73" spans="1:22" x14ac:dyDescent="0.3">
      <c r="A73" t="s">
        <v>322</v>
      </c>
      <c r="B73" s="4">
        <v>45763</v>
      </c>
      <c r="C73" s="4">
        <v>45770</v>
      </c>
      <c r="D73" s="5">
        <f t="shared" si="1"/>
        <v>7</v>
      </c>
      <c r="E73" t="s">
        <v>323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275</v>
      </c>
      <c r="M73" t="s">
        <v>324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</row>
    <row r="74" spans="1:22" x14ac:dyDescent="0.3">
      <c r="A74" t="s">
        <v>325</v>
      </c>
      <c r="B74" s="4">
        <v>45598</v>
      </c>
      <c r="C74" s="3">
        <v>45475</v>
      </c>
      <c r="D74" s="5">
        <f t="shared" si="1"/>
        <v>-123</v>
      </c>
      <c r="E74" t="s">
        <v>326</v>
      </c>
      <c r="F74" t="s">
        <v>23</v>
      </c>
      <c r="G74" t="s">
        <v>95</v>
      </c>
      <c r="H74" t="s">
        <v>54</v>
      </c>
      <c r="I74" t="s">
        <v>248</v>
      </c>
      <c r="J74" t="s">
        <v>249</v>
      </c>
      <c r="K74" t="s">
        <v>41</v>
      </c>
      <c r="L74" t="s">
        <v>42</v>
      </c>
      <c r="M74" t="s">
        <v>327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</row>
    <row r="75" spans="1:22" x14ac:dyDescent="0.3">
      <c r="A75" t="s">
        <v>328</v>
      </c>
      <c r="B75" s="4">
        <v>45745</v>
      </c>
      <c r="C75" s="4">
        <v>45750</v>
      </c>
      <c r="D75" s="5">
        <f t="shared" si="1"/>
        <v>5</v>
      </c>
      <c r="E75" t="s">
        <v>329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330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</row>
    <row r="76" spans="1:22" x14ac:dyDescent="0.3">
      <c r="A76" t="s">
        <v>331</v>
      </c>
      <c r="B76" s="4">
        <v>45715</v>
      </c>
      <c r="C76" s="4">
        <v>45660</v>
      </c>
      <c r="D76" s="5">
        <f t="shared" si="1"/>
        <v>-55</v>
      </c>
      <c r="E76" t="s">
        <v>332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333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</row>
    <row r="77" spans="1:22" x14ac:dyDescent="0.3">
      <c r="A77" t="s">
        <v>334</v>
      </c>
      <c r="B77" s="4">
        <v>45891</v>
      </c>
      <c r="C77" s="4">
        <v>45896</v>
      </c>
      <c r="D77" s="5">
        <f t="shared" si="1"/>
        <v>5</v>
      </c>
      <c r="E77" t="s">
        <v>335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336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</row>
    <row r="78" spans="1:22" x14ac:dyDescent="0.3">
      <c r="A78" t="s">
        <v>337</v>
      </c>
      <c r="B78" s="3">
        <v>45362</v>
      </c>
      <c r="C78" s="4">
        <v>45607</v>
      </c>
      <c r="D78" s="5">
        <f t="shared" si="1"/>
        <v>245</v>
      </c>
      <c r="E78" t="s">
        <v>338</v>
      </c>
      <c r="F78" t="s">
        <v>62</v>
      </c>
      <c r="G78" t="s">
        <v>90</v>
      </c>
      <c r="H78" t="s">
        <v>38</v>
      </c>
      <c r="I78" t="s">
        <v>229</v>
      </c>
      <c r="J78" t="s">
        <v>230</v>
      </c>
      <c r="K78" t="s">
        <v>28</v>
      </c>
      <c r="L78" t="s">
        <v>91</v>
      </c>
      <c r="M78" t="s">
        <v>339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</row>
    <row r="79" spans="1:22" x14ac:dyDescent="0.3">
      <c r="A79" t="s">
        <v>340</v>
      </c>
      <c r="B79" s="4">
        <v>45846</v>
      </c>
      <c r="C79" s="4">
        <v>45998</v>
      </c>
      <c r="D79" s="5">
        <f t="shared" si="1"/>
        <v>152</v>
      </c>
      <c r="E79" t="s">
        <v>341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342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</row>
    <row r="80" spans="1:22" x14ac:dyDescent="0.3">
      <c r="A80" t="s">
        <v>343</v>
      </c>
      <c r="B80" s="4">
        <v>45854</v>
      </c>
      <c r="C80" s="4">
        <v>45859</v>
      </c>
      <c r="D80" s="5">
        <f t="shared" si="1"/>
        <v>5</v>
      </c>
      <c r="E80" t="s">
        <v>344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345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</row>
    <row r="81" spans="1:22" x14ac:dyDescent="0.3">
      <c r="A81" t="s">
        <v>346</v>
      </c>
      <c r="B81" s="4">
        <v>45927</v>
      </c>
      <c r="C81" s="4">
        <v>45726</v>
      </c>
      <c r="D81" s="5">
        <f t="shared" si="1"/>
        <v>-201</v>
      </c>
      <c r="E81" t="s">
        <v>347</v>
      </c>
      <c r="F81" t="s">
        <v>162</v>
      </c>
      <c r="G81" t="s">
        <v>95</v>
      </c>
      <c r="H81" t="s">
        <v>54</v>
      </c>
      <c r="I81" t="s">
        <v>248</v>
      </c>
      <c r="J81" t="s">
        <v>249</v>
      </c>
      <c r="K81" t="s">
        <v>41</v>
      </c>
      <c r="L81" t="s">
        <v>66</v>
      </c>
      <c r="M81" t="s">
        <v>348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</row>
    <row r="82" spans="1:22" x14ac:dyDescent="0.3">
      <c r="A82" t="s">
        <v>349</v>
      </c>
      <c r="B82" s="4">
        <v>45573</v>
      </c>
      <c r="C82" s="4">
        <v>45518</v>
      </c>
      <c r="D82" s="5">
        <f t="shared" si="1"/>
        <v>-55</v>
      </c>
      <c r="E82" t="s">
        <v>350</v>
      </c>
      <c r="F82" t="s">
        <v>128</v>
      </c>
      <c r="G82" t="s">
        <v>37</v>
      </c>
      <c r="H82" t="s">
        <v>25</v>
      </c>
      <c r="I82" t="s">
        <v>351</v>
      </c>
      <c r="J82" t="s">
        <v>352</v>
      </c>
      <c r="K82" t="s">
        <v>28</v>
      </c>
      <c r="L82" t="s">
        <v>124</v>
      </c>
      <c r="M82" t="s">
        <v>353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</row>
    <row r="83" spans="1:22" x14ac:dyDescent="0.3">
      <c r="A83" t="s">
        <v>354</v>
      </c>
      <c r="B83" s="4">
        <v>45732</v>
      </c>
      <c r="C83" s="4">
        <v>45733</v>
      </c>
      <c r="D83" s="5">
        <f t="shared" si="1"/>
        <v>1</v>
      </c>
      <c r="E83" t="s">
        <v>355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356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</row>
    <row r="84" spans="1:22" x14ac:dyDescent="0.3">
      <c r="A84" t="s">
        <v>357</v>
      </c>
      <c r="B84" s="4">
        <v>45359</v>
      </c>
      <c r="C84" s="4">
        <v>45390</v>
      </c>
      <c r="D84" s="5">
        <f t="shared" si="1"/>
        <v>31</v>
      </c>
      <c r="E84" t="s">
        <v>358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359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</row>
    <row r="85" spans="1:22" x14ac:dyDescent="0.3">
      <c r="A85" t="s">
        <v>360</v>
      </c>
      <c r="B85" s="4">
        <v>45591</v>
      </c>
      <c r="C85" s="4">
        <v>45594</v>
      </c>
      <c r="D85" s="5">
        <f t="shared" si="1"/>
        <v>3</v>
      </c>
      <c r="E85" t="s">
        <v>361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362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</row>
    <row r="86" spans="1:22" x14ac:dyDescent="0.3">
      <c r="A86" t="s">
        <v>363</v>
      </c>
      <c r="B86" s="3">
        <v>45301</v>
      </c>
      <c r="C86" s="4">
        <v>45361</v>
      </c>
      <c r="D86" s="5">
        <f t="shared" si="1"/>
        <v>60</v>
      </c>
      <c r="E86" t="s">
        <v>364</v>
      </c>
      <c r="F86" t="s">
        <v>141</v>
      </c>
      <c r="G86" t="s">
        <v>90</v>
      </c>
      <c r="H86" t="s">
        <v>54</v>
      </c>
      <c r="I86" t="s">
        <v>248</v>
      </c>
      <c r="J86" t="s">
        <v>249</v>
      </c>
      <c r="K86" t="s">
        <v>74</v>
      </c>
      <c r="L86" t="s">
        <v>171</v>
      </c>
      <c r="M86" t="s">
        <v>365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</row>
    <row r="87" spans="1:22" x14ac:dyDescent="0.3">
      <c r="A87" t="s">
        <v>366</v>
      </c>
      <c r="B87" s="4">
        <v>45503</v>
      </c>
      <c r="C87" s="4">
        <v>45509</v>
      </c>
      <c r="D87" s="5">
        <f t="shared" si="1"/>
        <v>6</v>
      </c>
      <c r="E87" t="s">
        <v>367</v>
      </c>
      <c r="F87" t="s">
        <v>265</v>
      </c>
      <c r="G87" t="s">
        <v>90</v>
      </c>
      <c r="H87" t="s">
        <v>25</v>
      </c>
      <c r="I87" t="s">
        <v>351</v>
      </c>
      <c r="J87" t="s">
        <v>352</v>
      </c>
      <c r="K87" t="s">
        <v>28</v>
      </c>
      <c r="L87" t="s">
        <v>153</v>
      </c>
      <c r="M87" t="s">
        <v>368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</row>
    <row r="88" spans="1:22" x14ac:dyDescent="0.3">
      <c r="A88" t="s">
        <v>369</v>
      </c>
      <c r="B88" s="3">
        <v>45298</v>
      </c>
      <c r="C88" s="3">
        <v>45298</v>
      </c>
      <c r="D88" s="5">
        <f t="shared" si="1"/>
        <v>0</v>
      </c>
      <c r="E88" t="s">
        <v>370</v>
      </c>
      <c r="F88" t="s">
        <v>62</v>
      </c>
      <c r="G88" t="s">
        <v>37</v>
      </c>
      <c r="H88" t="s">
        <v>25</v>
      </c>
      <c r="I88" t="s">
        <v>351</v>
      </c>
      <c r="J88" t="s">
        <v>352</v>
      </c>
      <c r="K88" t="s">
        <v>74</v>
      </c>
      <c r="L88" t="s">
        <v>80</v>
      </c>
      <c r="M88" t="s">
        <v>371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</row>
    <row r="89" spans="1:22" x14ac:dyDescent="0.3">
      <c r="A89" t="s">
        <v>372</v>
      </c>
      <c r="B89" s="4">
        <v>45330</v>
      </c>
      <c r="C89" s="4">
        <v>45359</v>
      </c>
      <c r="D89" s="5">
        <f t="shared" si="1"/>
        <v>29</v>
      </c>
      <c r="E89" t="s">
        <v>373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374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</row>
    <row r="90" spans="1:22" x14ac:dyDescent="0.3">
      <c r="A90" t="s">
        <v>375</v>
      </c>
      <c r="B90" s="4">
        <v>45375</v>
      </c>
      <c r="C90" s="3">
        <v>45378</v>
      </c>
      <c r="D90" s="5">
        <f t="shared" si="1"/>
        <v>3</v>
      </c>
      <c r="E90" t="s">
        <v>376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377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</row>
    <row r="91" spans="1:22" x14ac:dyDescent="0.3">
      <c r="A91" t="s">
        <v>378</v>
      </c>
      <c r="B91" s="3">
        <v>45421</v>
      </c>
      <c r="C91" s="3">
        <v>45421</v>
      </c>
      <c r="D91" s="5">
        <f t="shared" si="1"/>
        <v>0</v>
      </c>
      <c r="E91" t="s">
        <v>379</v>
      </c>
      <c r="F91" t="s">
        <v>265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380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</row>
    <row r="92" spans="1:22" x14ac:dyDescent="0.3">
      <c r="A92" t="s">
        <v>381</v>
      </c>
      <c r="B92" s="4">
        <v>45893</v>
      </c>
      <c r="C92" s="3">
        <v>45898</v>
      </c>
      <c r="D92" s="5">
        <f t="shared" si="1"/>
        <v>5</v>
      </c>
      <c r="E92" t="s">
        <v>382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383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</row>
    <row r="93" spans="1:22" x14ac:dyDescent="0.3">
      <c r="A93" t="s">
        <v>384</v>
      </c>
      <c r="B93" s="4">
        <v>45691</v>
      </c>
      <c r="C93" s="4">
        <v>45724</v>
      </c>
      <c r="D93" s="5">
        <f t="shared" si="1"/>
        <v>33</v>
      </c>
      <c r="E93" t="s">
        <v>385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386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</row>
    <row r="94" spans="1:22" x14ac:dyDescent="0.3">
      <c r="A94" t="s">
        <v>387</v>
      </c>
      <c r="B94" s="3">
        <v>45680</v>
      </c>
      <c r="C94" s="4">
        <v>45683</v>
      </c>
      <c r="D94" s="5">
        <f t="shared" si="1"/>
        <v>3</v>
      </c>
      <c r="E94" t="s">
        <v>388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389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</row>
    <row r="95" spans="1:22" x14ac:dyDescent="0.3">
      <c r="A95" t="s">
        <v>390</v>
      </c>
      <c r="B95" s="4">
        <v>45298</v>
      </c>
      <c r="C95" s="4">
        <v>45304</v>
      </c>
      <c r="D95" s="5">
        <f t="shared" si="1"/>
        <v>6</v>
      </c>
      <c r="E95" t="s">
        <v>391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392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</row>
    <row r="96" spans="1:22" x14ac:dyDescent="0.3">
      <c r="A96" t="s">
        <v>393</v>
      </c>
      <c r="B96" s="4">
        <v>45541</v>
      </c>
      <c r="C96" s="3">
        <v>45544</v>
      </c>
      <c r="D96" s="5">
        <f t="shared" si="1"/>
        <v>3</v>
      </c>
      <c r="E96" t="s">
        <v>394</v>
      </c>
      <c r="F96" t="s">
        <v>162</v>
      </c>
      <c r="G96" t="s">
        <v>24</v>
      </c>
      <c r="H96" t="s">
        <v>25</v>
      </c>
      <c r="I96" t="s">
        <v>237</v>
      </c>
      <c r="J96" t="s">
        <v>238</v>
      </c>
      <c r="K96" t="s">
        <v>74</v>
      </c>
      <c r="L96" t="s">
        <v>171</v>
      </c>
      <c r="M96" t="s">
        <v>395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</row>
    <row r="97" spans="1:22" x14ac:dyDescent="0.3">
      <c r="A97" t="s">
        <v>396</v>
      </c>
      <c r="B97" s="4">
        <v>45786</v>
      </c>
      <c r="C97" s="4">
        <v>45910</v>
      </c>
      <c r="D97" s="5">
        <f t="shared" si="1"/>
        <v>124</v>
      </c>
      <c r="E97" t="s">
        <v>397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398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</row>
    <row r="98" spans="1:22" x14ac:dyDescent="0.3">
      <c r="A98" t="s">
        <v>399</v>
      </c>
      <c r="B98" s="3">
        <v>45418</v>
      </c>
      <c r="C98" s="4">
        <v>45479</v>
      </c>
      <c r="D98" s="5">
        <f t="shared" si="1"/>
        <v>61</v>
      </c>
      <c r="E98" t="s">
        <v>400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401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</row>
    <row r="99" spans="1:22" x14ac:dyDescent="0.3">
      <c r="A99" t="s">
        <v>402</v>
      </c>
      <c r="B99" s="3">
        <v>45877</v>
      </c>
      <c r="C99" s="4">
        <v>45969</v>
      </c>
      <c r="D99" s="5">
        <f t="shared" si="1"/>
        <v>92</v>
      </c>
      <c r="E99" t="s">
        <v>403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404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</row>
    <row r="100" spans="1:22" x14ac:dyDescent="0.3">
      <c r="A100" t="s">
        <v>405</v>
      </c>
      <c r="B100" s="4">
        <v>45317</v>
      </c>
      <c r="C100" s="4">
        <v>45323</v>
      </c>
      <c r="D100" s="5">
        <f t="shared" si="1"/>
        <v>6</v>
      </c>
      <c r="E100" t="s">
        <v>406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407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</row>
    <row r="101" spans="1:22" x14ac:dyDescent="0.3">
      <c r="A101" t="s">
        <v>408</v>
      </c>
      <c r="B101" s="4">
        <v>45962</v>
      </c>
      <c r="C101" s="4">
        <v>45962</v>
      </c>
      <c r="D101" s="5">
        <f t="shared" si="1"/>
        <v>0</v>
      </c>
      <c r="E101" t="s">
        <v>409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410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</row>
    <row r="102" spans="1:22" x14ac:dyDescent="0.3">
      <c r="A102" t="s">
        <v>411</v>
      </c>
      <c r="B102" s="3">
        <v>46000</v>
      </c>
      <c r="C102" s="3">
        <v>45918</v>
      </c>
      <c r="D102" s="5">
        <f t="shared" si="1"/>
        <v>-82</v>
      </c>
      <c r="E102" t="s">
        <v>412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413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</row>
    <row r="103" spans="1:22" x14ac:dyDescent="0.3">
      <c r="A103" t="s">
        <v>414</v>
      </c>
      <c r="B103" s="4">
        <v>45465</v>
      </c>
      <c r="C103" s="4">
        <v>45469</v>
      </c>
      <c r="D103" s="5">
        <f t="shared" si="1"/>
        <v>4</v>
      </c>
      <c r="E103" t="s">
        <v>415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416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</row>
    <row r="104" spans="1:22" x14ac:dyDescent="0.3">
      <c r="A104" t="s">
        <v>417</v>
      </c>
      <c r="B104" s="3">
        <v>45998</v>
      </c>
      <c r="C104" s="4">
        <v>45854</v>
      </c>
      <c r="D104" s="5">
        <f t="shared" si="1"/>
        <v>-144</v>
      </c>
      <c r="E104" t="s">
        <v>418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419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</row>
    <row r="105" spans="1:22" x14ac:dyDescent="0.3">
      <c r="A105" t="s">
        <v>420</v>
      </c>
      <c r="B105" s="4">
        <v>45779</v>
      </c>
      <c r="C105" s="4">
        <v>45787</v>
      </c>
      <c r="D105" s="5">
        <f t="shared" si="1"/>
        <v>8</v>
      </c>
      <c r="E105" t="s">
        <v>421</v>
      </c>
      <c r="F105" t="s">
        <v>265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422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</row>
    <row r="106" spans="1:22" x14ac:dyDescent="0.3">
      <c r="A106" t="s">
        <v>423</v>
      </c>
      <c r="B106" s="4">
        <v>45659</v>
      </c>
      <c r="C106" s="4">
        <v>45696</v>
      </c>
      <c r="D106" s="5">
        <f t="shared" si="1"/>
        <v>37</v>
      </c>
      <c r="E106" t="s">
        <v>424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425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</row>
    <row r="107" spans="1:22" x14ac:dyDescent="0.3">
      <c r="A107" t="s">
        <v>426</v>
      </c>
      <c r="B107" s="4">
        <v>45467</v>
      </c>
      <c r="C107" s="4">
        <v>45472</v>
      </c>
      <c r="D107" s="5">
        <f t="shared" si="1"/>
        <v>5</v>
      </c>
      <c r="E107" t="s">
        <v>427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428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</row>
    <row r="108" spans="1:22" x14ac:dyDescent="0.3">
      <c r="A108" t="s">
        <v>429</v>
      </c>
      <c r="B108" s="4">
        <v>45342</v>
      </c>
      <c r="C108" s="3">
        <v>45350</v>
      </c>
      <c r="D108" s="5">
        <f t="shared" si="1"/>
        <v>8</v>
      </c>
      <c r="E108" t="s">
        <v>430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431</v>
      </c>
      <c r="N108" t="s">
        <v>59</v>
      </c>
      <c r="O108">
        <v>2</v>
      </c>
      <c r="P108">
        <v>4004.04</v>
      </c>
      <c r="R108">
        <v>7207.27</v>
      </c>
      <c r="S108">
        <v>5709.39</v>
      </c>
      <c r="T108">
        <v>1497.88</v>
      </c>
      <c r="U108" t="s">
        <v>32</v>
      </c>
      <c r="V108" t="s">
        <v>68</v>
      </c>
    </row>
    <row r="109" spans="1:22" x14ac:dyDescent="0.3">
      <c r="A109" t="s">
        <v>432</v>
      </c>
      <c r="B109" s="3">
        <v>45594</v>
      </c>
      <c r="C109" s="4">
        <v>45393</v>
      </c>
      <c r="D109" s="5">
        <f t="shared" si="1"/>
        <v>-201</v>
      </c>
      <c r="E109" t="s">
        <v>433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434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</row>
    <row r="110" spans="1:22" x14ac:dyDescent="0.3">
      <c r="A110" t="s">
        <v>435</v>
      </c>
      <c r="B110" s="3">
        <v>45519</v>
      </c>
      <c r="C110" s="4">
        <v>45527</v>
      </c>
      <c r="D110" s="5">
        <f t="shared" si="1"/>
        <v>8</v>
      </c>
      <c r="E110" t="s">
        <v>436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437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</row>
    <row r="111" spans="1:22" x14ac:dyDescent="0.3">
      <c r="A111" t="s">
        <v>438</v>
      </c>
      <c r="B111" s="4">
        <v>45892</v>
      </c>
      <c r="C111" s="4">
        <v>45896</v>
      </c>
      <c r="D111" s="5">
        <f t="shared" si="1"/>
        <v>4</v>
      </c>
      <c r="E111" t="s">
        <v>439</v>
      </c>
      <c r="F111" t="s">
        <v>132</v>
      </c>
      <c r="G111" t="s">
        <v>24</v>
      </c>
      <c r="H111" t="s">
        <v>25</v>
      </c>
      <c r="I111" t="s">
        <v>351</v>
      </c>
      <c r="J111" t="s">
        <v>352</v>
      </c>
      <c r="K111" t="s">
        <v>28</v>
      </c>
      <c r="L111" t="s">
        <v>153</v>
      </c>
      <c r="M111" t="s">
        <v>440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</row>
    <row r="112" spans="1:22" x14ac:dyDescent="0.3">
      <c r="A112" t="s">
        <v>441</v>
      </c>
      <c r="B112" s="4">
        <v>45583</v>
      </c>
      <c r="C112" s="4">
        <v>45589</v>
      </c>
      <c r="D112" s="5">
        <f t="shared" si="1"/>
        <v>6</v>
      </c>
      <c r="E112" t="s">
        <v>442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443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</row>
    <row r="113" spans="1:22" x14ac:dyDescent="0.3">
      <c r="A113" t="s">
        <v>444</v>
      </c>
      <c r="B113" s="4">
        <v>45835</v>
      </c>
      <c r="C113" s="4">
        <v>45838</v>
      </c>
      <c r="D113" s="5">
        <f t="shared" si="1"/>
        <v>3</v>
      </c>
      <c r="E113" t="s">
        <v>445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446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</row>
    <row r="114" spans="1:22" x14ac:dyDescent="0.3">
      <c r="A114" t="s">
        <v>447</v>
      </c>
      <c r="B114" s="3">
        <v>45566</v>
      </c>
      <c r="C114" s="4">
        <v>45305</v>
      </c>
      <c r="D114" s="5">
        <f t="shared" si="1"/>
        <v>-261</v>
      </c>
      <c r="E114" t="s">
        <v>448</v>
      </c>
      <c r="F114" t="s">
        <v>132</v>
      </c>
      <c r="G114" t="s">
        <v>24</v>
      </c>
      <c r="I114" t="s">
        <v>180</v>
      </c>
      <c r="J114" t="s">
        <v>181</v>
      </c>
      <c r="K114" t="s">
        <v>74</v>
      </c>
      <c r="L114" t="s">
        <v>75</v>
      </c>
      <c r="M114" t="s">
        <v>449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</row>
    <row r="115" spans="1:22" x14ac:dyDescent="0.3">
      <c r="A115" t="s">
        <v>450</v>
      </c>
      <c r="B115" s="4">
        <v>45628</v>
      </c>
      <c r="C115" s="4">
        <v>45628</v>
      </c>
      <c r="D115" s="5">
        <f t="shared" si="1"/>
        <v>0</v>
      </c>
      <c r="E115" t="s">
        <v>361</v>
      </c>
      <c r="F115" t="s">
        <v>47</v>
      </c>
      <c r="G115" t="s">
        <v>95</v>
      </c>
      <c r="H115" t="s">
        <v>54</v>
      </c>
      <c r="I115" t="s">
        <v>248</v>
      </c>
      <c r="J115" t="s">
        <v>249</v>
      </c>
      <c r="K115" t="s">
        <v>41</v>
      </c>
      <c r="L115" t="s">
        <v>42</v>
      </c>
      <c r="M115" t="s">
        <v>451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</row>
    <row r="116" spans="1:22" x14ac:dyDescent="0.3">
      <c r="A116" t="s">
        <v>452</v>
      </c>
      <c r="B116" s="4">
        <v>45560</v>
      </c>
      <c r="C116" s="3">
        <v>45565</v>
      </c>
      <c r="D116" s="5">
        <f t="shared" si="1"/>
        <v>5</v>
      </c>
      <c r="E116" t="s">
        <v>453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454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</row>
    <row r="117" spans="1:22" x14ac:dyDescent="0.3">
      <c r="A117" t="s">
        <v>455</v>
      </c>
      <c r="B117" s="4">
        <v>45653</v>
      </c>
      <c r="C117" s="4">
        <v>45658</v>
      </c>
      <c r="D117" s="5">
        <f t="shared" si="1"/>
        <v>5</v>
      </c>
      <c r="E117" t="s">
        <v>456</v>
      </c>
      <c r="F117" t="s">
        <v>265</v>
      </c>
      <c r="G117" t="s">
        <v>90</v>
      </c>
      <c r="H117" t="s">
        <v>54</v>
      </c>
      <c r="I117" t="s">
        <v>248</v>
      </c>
      <c r="J117" t="s">
        <v>249</v>
      </c>
      <c r="K117" t="s">
        <v>28</v>
      </c>
      <c r="L117" t="s">
        <v>153</v>
      </c>
      <c r="M117" t="s">
        <v>457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</row>
    <row r="118" spans="1:22" x14ac:dyDescent="0.3">
      <c r="A118" t="s">
        <v>458</v>
      </c>
      <c r="B118" s="4">
        <v>45703</v>
      </c>
      <c r="C118" s="3">
        <v>45707</v>
      </c>
      <c r="D118" s="5">
        <f t="shared" si="1"/>
        <v>4</v>
      </c>
      <c r="E118" t="s">
        <v>459</v>
      </c>
      <c r="F118" t="s">
        <v>62</v>
      </c>
      <c r="G118" t="s">
        <v>37</v>
      </c>
      <c r="I118" t="s">
        <v>72</v>
      </c>
      <c r="J118" t="s">
        <v>73</v>
      </c>
      <c r="K118" t="s">
        <v>28</v>
      </c>
      <c r="L118" t="s">
        <v>153</v>
      </c>
      <c r="M118" t="s">
        <v>460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</row>
    <row r="119" spans="1:22" x14ac:dyDescent="0.3">
      <c r="A119" t="s">
        <v>461</v>
      </c>
      <c r="B119" s="4">
        <v>45337</v>
      </c>
      <c r="C119" s="3">
        <v>45339</v>
      </c>
      <c r="D119" s="5">
        <f t="shared" si="1"/>
        <v>2</v>
      </c>
      <c r="E119" t="s">
        <v>462</v>
      </c>
      <c r="F119" t="s">
        <v>36</v>
      </c>
      <c r="G119" t="s">
        <v>95</v>
      </c>
      <c r="H119" t="s">
        <v>54</v>
      </c>
      <c r="I119" t="s">
        <v>248</v>
      </c>
      <c r="J119" t="s">
        <v>249</v>
      </c>
      <c r="K119" t="s">
        <v>74</v>
      </c>
      <c r="L119" t="s">
        <v>275</v>
      </c>
      <c r="M119" t="s">
        <v>463</v>
      </c>
      <c r="N119" t="s">
        <v>59</v>
      </c>
      <c r="O119">
        <v>9</v>
      </c>
      <c r="P119">
        <v>3324.55</v>
      </c>
      <c r="Q119" t="s">
        <v>464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</row>
    <row r="120" spans="1:22" x14ac:dyDescent="0.3">
      <c r="A120" t="s">
        <v>465</v>
      </c>
      <c r="B120" s="4">
        <v>45453</v>
      </c>
      <c r="C120" s="4">
        <v>45461</v>
      </c>
      <c r="D120" s="5">
        <f t="shared" si="1"/>
        <v>8</v>
      </c>
      <c r="E120" t="s">
        <v>466</v>
      </c>
      <c r="F120" t="s">
        <v>467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468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</row>
    <row r="121" spans="1:22" x14ac:dyDescent="0.3">
      <c r="A121" t="s">
        <v>469</v>
      </c>
      <c r="B121" s="3">
        <v>45632</v>
      </c>
      <c r="C121" s="3">
        <v>45462</v>
      </c>
      <c r="D121" s="5">
        <f t="shared" si="1"/>
        <v>-170</v>
      </c>
      <c r="E121" t="s">
        <v>470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471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</row>
    <row r="122" spans="1:22" x14ac:dyDescent="0.3">
      <c r="A122" t="s">
        <v>472</v>
      </c>
      <c r="B122" s="4">
        <v>45573</v>
      </c>
      <c r="C122" s="4">
        <v>45522</v>
      </c>
      <c r="D122" s="5">
        <f t="shared" si="1"/>
        <v>-51</v>
      </c>
      <c r="E122" t="s">
        <v>473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474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</row>
    <row r="123" spans="1:22" x14ac:dyDescent="0.3">
      <c r="A123" t="s">
        <v>475</v>
      </c>
      <c r="B123" s="4">
        <v>45891</v>
      </c>
      <c r="C123" s="4">
        <v>45895</v>
      </c>
      <c r="D123" s="5">
        <f t="shared" si="1"/>
        <v>4</v>
      </c>
      <c r="E123" t="s">
        <v>476</v>
      </c>
      <c r="F123" t="s">
        <v>265</v>
      </c>
      <c r="G123" t="s">
        <v>477</v>
      </c>
      <c r="H123" t="s">
        <v>54</v>
      </c>
      <c r="I123" t="s">
        <v>84</v>
      </c>
      <c r="J123" t="s">
        <v>85</v>
      </c>
      <c r="K123" t="s">
        <v>74</v>
      </c>
      <c r="L123" t="s">
        <v>275</v>
      </c>
      <c r="M123" t="s">
        <v>478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</row>
    <row r="124" spans="1:22" x14ac:dyDescent="0.3">
      <c r="A124" t="s">
        <v>479</v>
      </c>
      <c r="B124" s="4">
        <v>45626</v>
      </c>
      <c r="C124" s="4">
        <v>45394</v>
      </c>
      <c r="D124" s="5">
        <f t="shared" si="1"/>
        <v>-232</v>
      </c>
      <c r="E124" t="s">
        <v>480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481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</row>
    <row r="125" spans="1:22" x14ac:dyDescent="0.3">
      <c r="A125" t="s">
        <v>482</v>
      </c>
      <c r="B125" s="4">
        <v>45436</v>
      </c>
      <c r="C125" s="3">
        <v>45437</v>
      </c>
      <c r="D125" s="5">
        <f t="shared" si="1"/>
        <v>1</v>
      </c>
      <c r="E125" t="s">
        <v>483</v>
      </c>
      <c r="F125" t="s">
        <v>132</v>
      </c>
      <c r="G125" t="s">
        <v>37</v>
      </c>
      <c r="H125" t="s">
        <v>484</v>
      </c>
      <c r="I125" t="s">
        <v>122</v>
      </c>
      <c r="J125" t="s">
        <v>123</v>
      </c>
      <c r="K125" t="s">
        <v>74</v>
      </c>
      <c r="L125" t="s">
        <v>80</v>
      </c>
      <c r="M125" t="s">
        <v>485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</row>
    <row r="126" spans="1:22" x14ac:dyDescent="0.3">
      <c r="A126" t="s">
        <v>486</v>
      </c>
      <c r="B126" s="3">
        <v>45494</v>
      </c>
      <c r="C126" s="4">
        <v>45497</v>
      </c>
      <c r="D126" s="5">
        <f t="shared" si="1"/>
        <v>3</v>
      </c>
      <c r="E126" t="s">
        <v>487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488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</row>
    <row r="127" spans="1:22" x14ac:dyDescent="0.3">
      <c r="A127" t="s">
        <v>489</v>
      </c>
      <c r="B127" s="4">
        <v>45855</v>
      </c>
      <c r="C127" s="4">
        <v>45856</v>
      </c>
      <c r="D127" s="5">
        <f t="shared" si="1"/>
        <v>1</v>
      </c>
      <c r="E127" t="s">
        <v>490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491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</row>
    <row r="128" spans="1:22" x14ac:dyDescent="0.3">
      <c r="A128" t="s">
        <v>492</v>
      </c>
      <c r="B128" s="4">
        <v>45924</v>
      </c>
      <c r="C128" s="3">
        <v>45926</v>
      </c>
      <c r="D128" s="5">
        <f t="shared" si="1"/>
        <v>2</v>
      </c>
      <c r="E128" t="s">
        <v>493</v>
      </c>
      <c r="F128" t="s">
        <v>114</v>
      </c>
      <c r="G128" t="s">
        <v>90</v>
      </c>
      <c r="H128" t="s">
        <v>25</v>
      </c>
      <c r="I128" t="s">
        <v>351</v>
      </c>
      <c r="J128" t="s">
        <v>352</v>
      </c>
      <c r="K128" t="s">
        <v>74</v>
      </c>
      <c r="L128" t="s">
        <v>80</v>
      </c>
      <c r="M128" t="s">
        <v>494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</row>
    <row r="129" spans="1:22" x14ac:dyDescent="0.3">
      <c r="A129" t="s">
        <v>495</v>
      </c>
      <c r="B129" s="4">
        <v>45687</v>
      </c>
      <c r="C129" s="4">
        <v>45683</v>
      </c>
      <c r="D129" s="5">
        <f t="shared" si="1"/>
        <v>-4</v>
      </c>
      <c r="E129" t="s">
        <v>496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497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</row>
    <row r="130" spans="1:22" x14ac:dyDescent="0.3">
      <c r="A130" t="s">
        <v>498</v>
      </c>
      <c r="B130" s="3">
        <v>45639</v>
      </c>
      <c r="C130" s="3">
        <v>45642</v>
      </c>
      <c r="D130" s="5">
        <f t="shared" si="1"/>
        <v>3</v>
      </c>
      <c r="E130" t="s">
        <v>499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500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</row>
    <row r="131" spans="1:22" x14ac:dyDescent="0.3">
      <c r="A131" t="s">
        <v>501</v>
      </c>
      <c r="B131" s="4">
        <v>45492</v>
      </c>
      <c r="C131" s="4">
        <v>45498</v>
      </c>
      <c r="D131" s="5">
        <f t="shared" ref="D131:D194" si="2">C131-B131</f>
        <v>6</v>
      </c>
      <c r="E131" t="s">
        <v>502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503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</row>
    <row r="132" spans="1:22" x14ac:dyDescent="0.3">
      <c r="A132" t="s">
        <v>504</v>
      </c>
      <c r="B132" s="4">
        <v>45318</v>
      </c>
      <c r="C132" s="3">
        <v>45324</v>
      </c>
      <c r="D132" s="5">
        <f t="shared" si="2"/>
        <v>6</v>
      </c>
      <c r="E132" t="s">
        <v>505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506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</row>
    <row r="133" spans="1:22" x14ac:dyDescent="0.3">
      <c r="A133" t="s">
        <v>507</v>
      </c>
      <c r="B133" s="4">
        <v>45929</v>
      </c>
      <c r="C133" s="4">
        <v>45757</v>
      </c>
      <c r="D133" s="5">
        <f t="shared" si="2"/>
        <v>-172</v>
      </c>
      <c r="E133" t="s">
        <v>508</v>
      </c>
      <c r="F133" t="s">
        <v>62</v>
      </c>
      <c r="G133" t="s">
        <v>95</v>
      </c>
      <c r="H133" t="s">
        <v>38</v>
      </c>
      <c r="I133" t="s">
        <v>229</v>
      </c>
      <c r="J133" t="s">
        <v>230</v>
      </c>
      <c r="K133" t="s">
        <v>28</v>
      </c>
      <c r="L133" t="s">
        <v>29</v>
      </c>
      <c r="M133" t="s">
        <v>509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</row>
    <row r="134" spans="1:22" x14ac:dyDescent="0.3">
      <c r="A134" t="s">
        <v>510</v>
      </c>
      <c r="B134" s="3">
        <v>45393</v>
      </c>
      <c r="C134" s="3">
        <v>45393</v>
      </c>
      <c r="D134" s="5">
        <f t="shared" si="2"/>
        <v>0</v>
      </c>
      <c r="E134" t="s">
        <v>511</v>
      </c>
      <c r="F134" t="s">
        <v>265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275</v>
      </c>
      <c r="M134" t="s">
        <v>512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</row>
    <row r="135" spans="1:22" x14ac:dyDescent="0.3">
      <c r="A135" t="s">
        <v>513</v>
      </c>
      <c r="B135" s="4">
        <v>45639</v>
      </c>
      <c r="C135" s="4">
        <v>45644</v>
      </c>
      <c r="D135" s="5">
        <f t="shared" si="2"/>
        <v>5</v>
      </c>
      <c r="E135" t="s">
        <v>514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515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</row>
    <row r="136" spans="1:22" x14ac:dyDescent="0.3">
      <c r="A136" t="s">
        <v>516</v>
      </c>
      <c r="B136" s="4">
        <v>45852</v>
      </c>
      <c r="C136" s="4">
        <v>45852</v>
      </c>
      <c r="D136" s="5">
        <f t="shared" si="2"/>
        <v>0</v>
      </c>
      <c r="E136" t="s">
        <v>517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518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</row>
    <row r="137" spans="1:22" x14ac:dyDescent="0.3">
      <c r="A137" t="s">
        <v>519</v>
      </c>
      <c r="B137" s="4">
        <v>45893</v>
      </c>
      <c r="C137" s="4">
        <v>45893</v>
      </c>
      <c r="D137" s="5">
        <f t="shared" si="2"/>
        <v>0</v>
      </c>
      <c r="E137" t="s">
        <v>520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521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</row>
    <row r="138" spans="1:22" x14ac:dyDescent="0.3">
      <c r="A138" t="s">
        <v>522</v>
      </c>
      <c r="B138" s="4">
        <v>45902</v>
      </c>
      <c r="C138" s="4">
        <v>45703</v>
      </c>
      <c r="D138" s="5">
        <f t="shared" si="2"/>
        <v>-199</v>
      </c>
      <c r="E138" t="s">
        <v>523</v>
      </c>
      <c r="F138" t="s">
        <v>36</v>
      </c>
      <c r="G138" t="s">
        <v>95</v>
      </c>
      <c r="H138" t="s">
        <v>38</v>
      </c>
      <c r="I138" t="s">
        <v>229</v>
      </c>
      <c r="J138" t="s">
        <v>230</v>
      </c>
      <c r="K138" t="s">
        <v>28</v>
      </c>
      <c r="L138" t="s">
        <v>153</v>
      </c>
      <c r="M138" t="s">
        <v>524</v>
      </c>
      <c r="N138" t="s">
        <v>525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</row>
    <row r="139" spans="1:22" x14ac:dyDescent="0.3">
      <c r="A139" t="s">
        <v>526</v>
      </c>
      <c r="B139" s="4">
        <v>45666</v>
      </c>
      <c r="C139" s="4">
        <v>45901</v>
      </c>
      <c r="D139" s="5">
        <f t="shared" si="2"/>
        <v>235</v>
      </c>
      <c r="E139" t="s">
        <v>527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528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</row>
    <row r="140" spans="1:22" x14ac:dyDescent="0.3">
      <c r="A140" t="s">
        <v>529</v>
      </c>
      <c r="B140" s="4">
        <v>45311</v>
      </c>
      <c r="C140" s="4">
        <v>45317</v>
      </c>
      <c r="D140" s="5">
        <f t="shared" si="2"/>
        <v>6</v>
      </c>
      <c r="E140" t="s">
        <v>530</v>
      </c>
      <c r="F140" t="s">
        <v>162</v>
      </c>
      <c r="G140" t="s">
        <v>95</v>
      </c>
      <c r="H140" t="s">
        <v>38</v>
      </c>
      <c r="I140" t="s">
        <v>229</v>
      </c>
      <c r="J140" t="s">
        <v>230</v>
      </c>
      <c r="K140" t="s">
        <v>74</v>
      </c>
      <c r="L140" t="s">
        <v>275</v>
      </c>
      <c r="M140" t="s">
        <v>531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</row>
    <row r="141" spans="1:22" x14ac:dyDescent="0.3">
      <c r="A141" t="s">
        <v>532</v>
      </c>
      <c r="B141" s="4">
        <v>45718</v>
      </c>
      <c r="C141" s="4">
        <v>45841</v>
      </c>
      <c r="D141" s="5">
        <f t="shared" si="2"/>
        <v>123</v>
      </c>
      <c r="E141" t="s">
        <v>533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534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</row>
    <row r="142" spans="1:22" x14ac:dyDescent="0.3">
      <c r="A142" t="s">
        <v>535</v>
      </c>
      <c r="B142" s="4">
        <v>45443</v>
      </c>
      <c r="C142" s="3">
        <v>45297</v>
      </c>
      <c r="D142" s="5">
        <f t="shared" si="2"/>
        <v>-146</v>
      </c>
      <c r="E142" t="s">
        <v>536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537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</row>
    <row r="143" spans="1:22" x14ac:dyDescent="0.3">
      <c r="A143" t="s">
        <v>538</v>
      </c>
      <c r="B143" s="4">
        <v>45374</v>
      </c>
      <c r="C143" s="4">
        <v>45380</v>
      </c>
      <c r="D143" s="5">
        <f t="shared" si="2"/>
        <v>6</v>
      </c>
      <c r="E143" t="s">
        <v>539</v>
      </c>
      <c r="F143" t="s">
        <v>114</v>
      </c>
      <c r="G143" t="s">
        <v>90</v>
      </c>
      <c r="H143" t="s">
        <v>25</v>
      </c>
      <c r="I143" t="s">
        <v>351</v>
      </c>
      <c r="J143" t="s">
        <v>352</v>
      </c>
      <c r="K143" t="s">
        <v>41</v>
      </c>
      <c r="L143" t="s">
        <v>158</v>
      </c>
      <c r="M143" t="s">
        <v>540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</row>
    <row r="144" spans="1:22" x14ac:dyDescent="0.3">
      <c r="A144" t="s">
        <v>541</v>
      </c>
      <c r="B144" s="3">
        <v>45381</v>
      </c>
      <c r="C144" s="3">
        <v>45377</v>
      </c>
      <c r="D144" s="5">
        <f t="shared" si="2"/>
        <v>-4</v>
      </c>
      <c r="E144" t="s">
        <v>542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543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</row>
    <row r="145" spans="1:22" x14ac:dyDescent="0.3">
      <c r="A145" t="s">
        <v>544</v>
      </c>
      <c r="B145" s="4">
        <v>45375</v>
      </c>
      <c r="C145" s="4">
        <v>45377</v>
      </c>
      <c r="D145" s="5">
        <f t="shared" si="2"/>
        <v>2</v>
      </c>
      <c r="E145" t="s">
        <v>545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546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</row>
    <row r="146" spans="1:22" x14ac:dyDescent="0.3">
      <c r="A146" t="s">
        <v>547</v>
      </c>
      <c r="B146" s="4">
        <v>45479</v>
      </c>
      <c r="C146" s="4">
        <v>45458</v>
      </c>
      <c r="D146" s="5">
        <f t="shared" si="2"/>
        <v>-21</v>
      </c>
      <c r="E146" t="s">
        <v>548</v>
      </c>
      <c r="F146" t="s">
        <v>265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549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</row>
    <row r="147" spans="1:22" x14ac:dyDescent="0.3">
      <c r="A147" t="s">
        <v>550</v>
      </c>
      <c r="B147" s="4">
        <v>45965</v>
      </c>
      <c r="C147" s="4">
        <v>45760</v>
      </c>
      <c r="D147" s="5">
        <f t="shared" si="2"/>
        <v>-205</v>
      </c>
      <c r="E147" t="s">
        <v>551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552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</row>
    <row r="148" spans="1:22" x14ac:dyDescent="0.3">
      <c r="A148" t="s">
        <v>553</v>
      </c>
      <c r="B148" s="3">
        <v>45868</v>
      </c>
      <c r="C148" s="4">
        <v>45870</v>
      </c>
      <c r="D148" s="5">
        <f t="shared" si="2"/>
        <v>2</v>
      </c>
      <c r="E148" t="s">
        <v>554</v>
      </c>
      <c r="F148" t="s">
        <v>132</v>
      </c>
      <c r="G148" t="s">
        <v>37</v>
      </c>
      <c r="H148" t="s">
        <v>54</v>
      </c>
      <c r="I148" t="s">
        <v>248</v>
      </c>
      <c r="J148" t="s">
        <v>249</v>
      </c>
      <c r="K148" t="s">
        <v>28</v>
      </c>
      <c r="L148" t="s">
        <v>124</v>
      </c>
      <c r="M148" t="s">
        <v>555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</row>
    <row r="149" spans="1:22" x14ac:dyDescent="0.3">
      <c r="A149" t="s">
        <v>556</v>
      </c>
      <c r="B149" s="4">
        <v>45649</v>
      </c>
      <c r="C149" s="4">
        <v>45656</v>
      </c>
      <c r="D149" s="5">
        <f t="shared" si="2"/>
        <v>7</v>
      </c>
      <c r="E149" t="s">
        <v>557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558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</row>
    <row r="150" spans="1:22" x14ac:dyDescent="0.3">
      <c r="A150" t="s">
        <v>559</v>
      </c>
      <c r="B150" s="3">
        <v>45902</v>
      </c>
      <c r="C150" s="4">
        <v>45701</v>
      </c>
      <c r="D150" s="5">
        <f t="shared" si="2"/>
        <v>-201</v>
      </c>
      <c r="E150" t="s">
        <v>560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561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</row>
    <row r="151" spans="1:22" x14ac:dyDescent="0.3">
      <c r="A151" t="s">
        <v>562</v>
      </c>
      <c r="B151" s="4">
        <v>45321</v>
      </c>
      <c r="C151" s="4">
        <v>45321</v>
      </c>
      <c r="D151" s="5">
        <f t="shared" si="2"/>
        <v>0</v>
      </c>
      <c r="E151" t="s">
        <v>563</v>
      </c>
      <c r="F151" t="s">
        <v>128</v>
      </c>
      <c r="G151" t="s">
        <v>37</v>
      </c>
      <c r="H151" t="s">
        <v>564</v>
      </c>
      <c r="I151" t="s">
        <v>26</v>
      </c>
      <c r="J151" t="s">
        <v>109</v>
      </c>
      <c r="K151" t="s">
        <v>74</v>
      </c>
      <c r="L151" t="s">
        <v>80</v>
      </c>
      <c r="M151" t="s">
        <v>565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</row>
    <row r="152" spans="1:22" x14ac:dyDescent="0.3">
      <c r="A152" t="s">
        <v>566</v>
      </c>
      <c r="B152" s="4">
        <v>45385</v>
      </c>
      <c r="C152" s="4">
        <v>45629</v>
      </c>
      <c r="D152" s="5">
        <f t="shared" si="2"/>
        <v>244</v>
      </c>
      <c r="E152" t="s">
        <v>567</v>
      </c>
      <c r="F152" t="s">
        <v>53</v>
      </c>
      <c r="G152" t="s">
        <v>24</v>
      </c>
      <c r="I152" t="s">
        <v>180</v>
      </c>
      <c r="J152" t="s">
        <v>181</v>
      </c>
      <c r="K152" t="s">
        <v>41</v>
      </c>
      <c r="L152" t="s">
        <v>158</v>
      </c>
      <c r="M152" t="s">
        <v>568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</row>
    <row r="153" spans="1:22" x14ac:dyDescent="0.3">
      <c r="A153" t="s">
        <v>569</v>
      </c>
      <c r="B153" s="3">
        <v>45470</v>
      </c>
      <c r="C153" s="4">
        <v>45470</v>
      </c>
      <c r="D153" s="5">
        <f t="shared" si="2"/>
        <v>0</v>
      </c>
      <c r="E153" t="s">
        <v>570</v>
      </c>
      <c r="F153" t="s">
        <v>79</v>
      </c>
      <c r="G153" t="s">
        <v>95</v>
      </c>
      <c r="I153" t="s">
        <v>72</v>
      </c>
      <c r="J153" t="s">
        <v>73</v>
      </c>
      <c r="K153" t="s">
        <v>74</v>
      </c>
      <c r="L153" t="s">
        <v>80</v>
      </c>
      <c r="M153" t="s">
        <v>571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</row>
    <row r="154" spans="1:22" x14ac:dyDescent="0.3">
      <c r="A154" t="s">
        <v>572</v>
      </c>
      <c r="B154" s="3">
        <v>45457</v>
      </c>
      <c r="C154" s="4">
        <v>45460</v>
      </c>
      <c r="D154" s="5">
        <f t="shared" si="2"/>
        <v>3</v>
      </c>
      <c r="E154" t="s">
        <v>573</v>
      </c>
      <c r="F154" t="s">
        <v>265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574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</row>
    <row r="155" spans="1:22" x14ac:dyDescent="0.3">
      <c r="A155" t="s">
        <v>575</v>
      </c>
      <c r="B155" s="3">
        <v>45923</v>
      </c>
      <c r="C155" s="4">
        <v>45925</v>
      </c>
      <c r="D155" s="5">
        <f t="shared" si="2"/>
        <v>2</v>
      </c>
      <c r="E155" t="s">
        <v>576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577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</row>
    <row r="156" spans="1:22" x14ac:dyDescent="0.3">
      <c r="A156" t="s">
        <v>578</v>
      </c>
      <c r="B156" s="3">
        <v>45628</v>
      </c>
      <c r="C156" s="4">
        <v>45333</v>
      </c>
      <c r="D156" s="5">
        <f t="shared" si="2"/>
        <v>-295</v>
      </c>
      <c r="E156" t="s">
        <v>456</v>
      </c>
      <c r="F156" t="s">
        <v>114</v>
      </c>
      <c r="G156" t="s">
        <v>24</v>
      </c>
      <c r="H156" t="s">
        <v>54</v>
      </c>
      <c r="I156" t="s">
        <v>248</v>
      </c>
      <c r="J156" t="s">
        <v>249</v>
      </c>
      <c r="K156" t="s">
        <v>41</v>
      </c>
      <c r="L156" t="s">
        <v>158</v>
      </c>
      <c r="M156" t="s">
        <v>579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</row>
    <row r="157" spans="1:22" x14ac:dyDescent="0.3">
      <c r="A157" t="s">
        <v>580</v>
      </c>
      <c r="B157" s="4">
        <v>45683</v>
      </c>
      <c r="C157" s="3">
        <v>45718</v>
      </c>
      <c r="D157" s="5">
        <f t="shared" si="2"/>
        <v>35</v>
      </c>
      <c r="E157" t="s">
        <v>581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582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</row>
    <row r="158" spans="1:22" x14ac:dyDescent="0.3">
      <c r="A158" t="s">
        <v>583</v>
      </c>
      <c r="B158" s="4">
        <v>45743</v>
      </c>
      <c r="C158" s="3">
        <v>45743</v>
      </c>
      <c r="D158" s="5">
        <f t="shared" si="2"/>
        <v>0</v>
      </c>
      <c r="E158" t="s">
        <v>584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275</v>
      </c>
      <c r="M158" t="s">
        <v>585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</row>
    <row r="159" spans="1:22" x14ac:dyDescent="0.3">
      <c r="A159" t="s">
        <v>586</v>
      </c>
      <c r="B159" s="4">
        <v>45587</v>
      </c>
      <c r="C159" s="4">
        <v>45589</v>
      </c>
      <c r="D159" s="5">
        <f t="shared" si="2"/>
        <v>2</v>
      </c>
      <c r="E159" t="s">
        <v>587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588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</row>
    <row r="160" spans="1:22" x14ac:dyDescent="0.3">
      <c r="A160" t="s">
        <v>589</v>
      </c>
      <c r="B160" s="4">
        <v>45544</v>
      </c>
      <c r="C160" s="4">
        <v>45546</v>
      </c>
      <c r="D160" s="5">
        <f t="shared" si="2"/>
        <v>2</v>
      </c>
      <c r="E160" t="s">
        <v>590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591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</row>
    <row r="161" spans="1:22" x14ac:dyDescent="0.3">
      <c r="A161" t="s">
        <v>592</v>
      </c>
      <c r="B161" s="4">
        <v>45687</v>
      </c>
      <c r="C161" s="4">
        <v>45749</v>
      </c>
      <c r="D161" s="5">
        <f t="shared" si="2"/>
        <v>62</v>
      </c>
      <c r="E161" t="s">
        <v>593</v>
      </c>
      <c r="F161" t="s">
        <v>114</v>
      </c>
      <c r="G161" t="s">
        <v>90</v>
      </c>
      <c r="H161" t="s">
        <v>25</v>
      </c>
      <c r="I161" t="s">
        <v>237</v>
      </c>
      <c r="J161" t="s">
        <v>238</v>
      </c>
      <c r="K161" t="s">
        <v>41</v>
      </c>
      <c r="L161" t="s">
        <v>66</v>
      </c>
      <c r="M161" t="s">
        <v>594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</row>
    <row r="162" spans="1:22" x14ac:dyDescent="0.3">
      <c r="A162" t="s">
        <v>595</v>
      </c>
      <c r="B162" s="4">
        <v>45879</v>
      </c>
      <c r="C162" s="4">
        <v>45936</v>
      </c>
      <c r="D162" s="5">
        <f t="shared" si="2"/>
        <v>57</v>
      </c>
      <c r="E162" t="s">
        <v>596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597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</row>
    <row r="163" spans="1:22" x14ac:dyDescent="0.3">
      <c r="A163" t="s">
        <v>598</v>
      </c>
      <c r="B163" s="4">
        <v>45862</v>
      </c>
      <c r="C163" s="4">
        <v>45868</v>
      </c>
      <c r="D163" s="5">
        <f t="shared" si="2"/>
        <v>6</v>
      </c>
      <c r="E163" t="s">
        <v>599</v>
      </c>
      <c r="F163" t="s">
        <v>53</v>
      </c>
      <c r="G163" t="s">
        <v>600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601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</row>
    <row r="164" spans="1:22" x14ac:dyDescent="0.3">
      <c r="A164" t="s">
        <v>602</v>
      </c>
      <c r="B164" s="4">
        <v>45538</v>
      </c>
      <c r="C164" s="3">
        <v>45365</v>
      </c>
      <c r="D164" s="5">
        <f t="shared" si="2"/>
        <v>-173</v>
      </c>
      <c r="E164" t="s">
        <v>603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604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</row>
    <row r="165" spans="1:22" x14ac:dyDescent="0.3">
      <c r="A165" t="s">
        <v>605</v>
      </c>
      <c r="B165" s="4">
        <v>45921</v>
      </c>
      <c r="C165" s="3">
        <v>45926</v>
      </c>
      <c r="D165" s="5">
        <f t="shared" si="2"/>
        <v>5</v>
      </c>
      <c r="E165" t="s">
        <v>606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607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</row>
    <row r="166" spans="1:22" x14ac:dyDescent="0.3">
      <c r="A166" t="s">
        <v>608</v>
      </c>
      <c r="B166" s="3">
        <v>45909</v>
      </c>
      <c r="C166" s="4">
        <v>45914</v>
      </c>
      <c r="D166" s="5">
        <f t="shared" si="2"/>
        <v>5</v>
      </c>
      <c r="E166" t="s">
        <v>609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610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</row>
    <row r="167" spans="1:22" x14ac:dyDescent="0.3">
      <c r="A167" t="s">
        <v>611</v>
      </c>
      <c r="B167" s="4">
        <v>45618</v>
      </c>
      <c r="C167" s="4">
        <v>45625</v>
      </c>
      <c r="D167" s="5">
        <f t="shared" si="2"/>
        <v>7</v>
      </c>
      <c r="E167" t="s">
        <v>612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613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</row>
    <row r="168" spans="1:22" x14ac:dyDescent="0.3">
      <c r="A168" t="s">
        <v>614</v>
      </c>
      <c r="B168" s="4">
        <v>45708</v>
      </c>
      <c r="C168" s="4">
        <v>45714</v>
      </c>
      <c r="D168" s="5">
        <f t="shared" si="2"/>
        <v>6</v>
      </c>
      <c r="E168" t="s">
        <v>615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616</v>
      </c>
      <c r="L168" t="s">
        <v>91</v>
      </c>
      <c r="M168" t="s">
        <v>617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</row>
    <row r="169" spans="1:22" x14ac:dyDescent="0.3">
      <c r="A169" t="s">
        <v>618</v>
      </c>
      <c r="B169" s="4">
        <v>45887</v>
      </c>
      <c r="C169" s="4">
        <v>45887</v>
      </c>
      <c r="D169" s="5">
        <f t="shared" si="2"/>
        <v>0</v>
      </c>
      <c r="E169" t="s">
        <v>619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620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</row>
    <row r="170" spans="1:22" x14ac:dyDescent="0.3">
      <c r="A170" t="s">
        <v>621</v>
      </c>
      <c r="B170" s="4">
        <v>45677</v>
      </c>
      <c r="C170" s="3">
        <v>45680</v>
      </c>
      <c r="D170" s="5">
        <f t="shared" si="2"/>
        <v>3</v>
      </c>
      <c r="E170" t="s">
        <v>622</v>
      </c>
      <c r="F170" t="s">
        <v>265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623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</row>
    <row r="171" spans="1:22" x14ac:dyDescent="0.3">
      <c r="A171" t="s">
        <v>624</v>
      </c>
      <c r="B171" s="4">
        <v>45913</v>
      </c>
      <c r="C171" s="4">
        <v>45913</v>
      </c>
      <c r="D171" s="5">
        <f t="shared" si="2"/>
        <v>0</v>
      </c>
      <c r="E171" t="s">
        <v>625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626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</row>
    <row r="172" spans="1:22" x14ac:dyDescent="0.3">
      <c r="A172" t="s">
        <v>627</v>
      </c>
      <c r="B172" s="4">
        <v>45847</v>
      </c>
      <c r="C172" s="4">
        <v>45915</v>
      </c>
      <c r="D172" s="5">
        <f t="shared" si="2"/>
        <v>68</v>
      </c>
      <c r="E172" t="s">
        <v>628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629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</row>
    <row r="173" spans="1:22" x14ac:dyDescent="0.3">
      <c r="A173" t="s">
        <v>630</v>
      </c>
      <c r="B173" s="4">
        <v>45711</v>
      </c>
      <c r="C173" s="4">
        <v>45713</v>
      </c>
      <c r="D173" s="5">
        <f t="shared" si="2"/>
        <v>2</v>
      </c>
      <c r="E173" t="s">
        <v>631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632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</row>
    <row r="174" spans="1:22" x14ac:dyDescent="0.3">
      <c r="A174" t="s">
        <v>633</v>
      </c>
      <c r="B174" s="4">
        <v>45696</v>
      </c>
      <c r="C174" s="4">
        <v>45938</v>
      </c>
      <c r="D174" s="5">
        <f t="shared" si="2"/>
        <v>242</v>
      </c>
      <c r="E174" t="s">
        <v>634</v>
      </c>
      <c r="F174" t="s">
        <v>23</v>
      </c>
      <c r="G174" t="s">
        <v>90</v>
      </c>
      <c r="H174" t="s">
        <v>25</v>
      </c>
      <c r="I174" t="s">
        <v>351</v>
      </c>
      <c r="J174" t="s">
        <v>352</v>
      </c>
      <c r="K174" t="s">
        <v>41</v>
      </c>
      <c r="L174" t="s">
        <v>57</v>
      </c>
      <c r="M174" t="s">
        <v>635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</row>
    <row r="175" spans="1:22" x14ac:dyDescent="0.3">
      <c r="A175" t="s">
        <v>636</v>
      </c>
      <c r="B175" s="4">
        <v>45327</v>
      </c>
      <c r="C175" s="3">
        <v>45509</v>
      </c>
      <c r="D175" s="5">
        <f t="shared" si="2"/>
        <v>182</v>
      </c>
      <c r="E175" t="s">
        <v>637</v>
      </c>
      <c r="F175" t="s">
        <v>638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639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</row>
    <row r="176" spans="1:22" x14ac:dyDescent="0.3">
      <c r="A176" t="s">
        <v>640</v>
      </c>
      <c r="B176" s="3">
        <v>45928</v>
      </c>
      <c r="C176" s="4">
        <v>45757</v>
      </c>
      <c r="D176" s="5">
        <f t="shared" si="2"/>
        <v>-171</v>
      </c>
      <c r="E176" t="s">
        <v>641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642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</row>
    <row r="177" spans="1:22" x14ac:dyDescent="0.3">
      <c r="A177" t="s">
        <v>643</v>
      </c>
      <c r="B177" s="4">
        <v>45318</v>
      </c>
      <c r="C177" s="4">
        <v>45353</v>
      </c>
      <c r="D177" s="5">
        <f t="shared" si="2"/>
        <v>35</v>
      </c>
      <c r="E177" t="s">
        <v>644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275</v>
      </c>
      <c r="M177" t="s">
        <v>645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</row>
    <row r="178" spans="1:22" x14ac:dyDescent="0.3">
      <c r="A178" t="s">
        <v>646</v>
      </c>
      <c r="B178" s="4">
        <v>45734</v>
      </c>
      <c r="C178" s="4">
        <v>45742</v>
      </c>
      <c r="D178" s="5">
        <f t="shared" si="2"/>
        <v>8</v>
      </c>
      <c r="E178" t="s">
        <v>647</v>
      </c>
      <c r="F178" t="s">
        <v>71</v>
      </c>
      <c r="G178" t="s">
        <v>90</v>
      </c>
      <c r="H178" t="s">
        <v>38</v>
      </c>
      <c r="I178" t="s">
        <v>229</v>
      </c>
      <c r="J178" t="s">
        <v>230</v>
      </c>
      <c r="K178" t="s">
        <v>41</v>
      </c>
      <c r="L178" t="s">
        <v>158</v>
      </c>
      <c r="M178" t="s">
        <v>648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</row>
    <row r="179" spans="1:22" x14ac:dyDescent="0.3">
      <c r="A179" t="s">
        <v>649</v>
      </c>
      <c r="B179" s="4">
        <v>45297</v>
      </c>
      <c r="C179" s="4">
        <v>45446</v>
      </c>
      <c r="D179" s="5">
        <f t="shared" si="2"/>
        <v>149</v>
      </c>
      <c r="E179" t="s">
        <v>650</v>
      </c>
      <c r="F179" t="s">
        <v>132</v>
      </c>
      <c r="G179" t="s">
        <v>95</v>
      </c>
      <c r="I179" t="s">
        <v>145</v>
      </c>
      <c r="J179" t="s">
        <v>146</v>
      </c>
      <c r="K179" t="s">
        <v>28</v>
      </c>
      <c r="L179" t="s">
        <v>48</v>
      </c>
      <c r="M179" t="s">
        <v>651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</row>
    <row r="180" spans="1:22" x14ac:dyDescent="0.3">
      <c r="A180" t="s">
        <v>652</v>
      </c>
      <c r="B180" s="4">
        <v>45565</v>
      </c>
      <c r="C180" s="4">
        <v>45565</v>
      </c>
      <c r="D180" s="5">
        <f t="shared" si="2"/>
        <v>0</v>
      </c>
      <c r="E180" t="s">
        <v>653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654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</row>
    <row r="181" spans="1:22" x14ac:dyDescent="0.3">
      <c r="A181" t="s">
        <v>655</v>
      </c>
      <c r="B181" s="4">
        <v>45366</v>
      </c>
      <c r="C181" s="4">
        <v>45370</v>
      </c>
      <c r="D181" s="5">
        <f t="shared" si="2"/>
        <v>4</v>
      </c>
      <c r="E181" t="s">
        <v>656</v>
      </c>
      <c r="F181" t="s">
        <v>62</v>
      </c>
      <c r="G181" t="s">
        <v>37</v>
      </c>
      <c r="H181" t="s">
        <v>54</v>
      </c>
      <c r="I181" t="s">
        <v>248</v>
      </c>
      <c r="J181" t="s">
        <v>249</v>
      </c>
      <c r="K181" t="s">
        <v>41</v>
      </c>
      <c r="L181" t="s">
        <v>57</v>
      </c>
      <c r="M181" t="s">
        <v>657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</row>
    <row r="182" spans="1:22" x14ac:dyDescent="0.3">
      <c r="A182" t="s">
        <v>658</v>
      </c>
      <c r="B182" s="4">
        <v>45530</v>
      </c>
      <c r="C182" s="4">
        <v>45530</v>
      </c>
      <c r="D182" s="5">
        <f t="shared" si="2"/>
        <v>0</v>
      </c>
      <c r="E182" t="s">
        <v>659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616</v>
      </c>
      <c r="L182" t="s">
        <v>153</v>
      </c>
      <c r="M182" t="s">
        <v>660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</row>
    <row r="183" spans="1:22" x14ac:dyDescent="0.3">
      <c r="A183" t="s">
        <v>661</v>
      </c>
      <c r="B183" s="4">
        <v>45909</v>
      </c>
      <c r="C183" s="4">
        <v>45939</v>
      </c>
      <c r="D183" s="5">
        <f t="shared" si="2"/>
        <v>30</v>
      </c>
      <c r="E183" t="s">
        <v>662</v>
      </c>
      <c r="F183" t="s">
        <v>114</v>
      </c>
      <c r="G183" t="s">
        <v>95</v>
      </c>
      <c r="H183" t="s">
        <v>54</v>
      </c>
      <c r="I183" t="s">
        <v>248</v>
      </c>
      <c r="J183" t="s">
        <v>249</v>
      </c>
      <c r="K183" t="s">
        <v>28</v>
      </c>
      <c r="L183" t="s">
        <v>48</v>
      </c>
      <c r="M183" t="s">
        <v>663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</row>
    <row r="184" spans="1:22" x14ac:dyDescent="0.3">
      <c r="A184" t="s">
        <v>664</v>
      </c>
      <c r="B184" s="3">
        <v>45581</v>
      </c>
      <c r="C184" s="3">
        <v>45581</v>
      </c>
      <c r="D184" s="5">
        <f t="shared" si="2"/>
        <v>0</v>
      </c>
      <c r="E184" t="s">
        <v>665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275</v>
      </c>
      <c r="M184" t="s">
        <v>666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</row>
    <row r="185" spans="1:22" x14ac:dyDescent="0.3">
      <c r="A185" t="s">
        <v>667</v>
      </c>
      <c r="B185" s="4">
        <v>45832</v>
      </c>
      <c r="C185" s="4">
        <v>45835</v>
      </c>
      <c r="D185" s="5">
        <f t="shared" si="2"/>
        <v>3</v>
      </c>
      <c r="E185" t="s">
        <v>668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669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</row>
    <row r="186" spans="1:22" x14ac:dyDescent="0.3">
      <c r="A186" t="s">
        <v>670</v>
      </c>
      <c r="B186" s="4">
        <v>45326</v>
      </c>
      <c r="C186" s="4">
        <v>45447</v>
      </c>
      <c r="D186" s="5">
        <f t="shared" si="2"/>
        <v>121</v>
      </c>
      <c r="E186" t="s">
        <v>671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672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</row>
    <row r="187" spans="1:22" x14ac:dyDescent="0.3">
      <c r="A187" t="s">
        <v>673</v>
      </c>
      <c r="B187" s="4">
        <v>45601</v>
      </c>
      <c r="C187" s="4">
        <v>45609</v>
      </c>
      <c r="D187" s="5">
        <f t="shared" si="2"/>
        <v>8</v>
      </c>
      <c r="E187" t="s">
        <v>674</v>
      </c>
      <c r="F187" t="s">
        <v>53</v>
      </c>
      <c r="G187" t="s">
        <v>24</v>
      </c>
      <c r="I187" t="s">
        <v>122</v>
      </c>
      <c r="J187" t="s">
        <v>123</v>
      </c>
      <c r="K187" t="s">
        <v>28</v>
      </c>
      <c r="L187" t="s">
        <v>91</v>
      </c>
      <c r="M187" t="s">
        <v>675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</row>
    <row r="188" spans="1:22" x14ac:dyDescent="0.3">
      <c r="A188" t="s">
        <v>676</v>
      </c>
      <c r="B188" s="4">
        <v>45492</v>
      </c>
      <c r="C188" s="3">
        <v>45493</v>
      </c>
      <c r="D188" s="5">
        <f t="shared" si="2"/>
        <v>1</v>
      </c>
      <c r="E188" t="s">
        <v>264</v>
      </c>
      <c r="F188" t="s">
        <v>71</v>
      </c>
      <c r="G188" t="s">
        <v>24</v>
      </c>
      <c r="H188" t="s">
        <v>54</v>
      </c>
      <c r="I188" t="s">
        <v>248</v>
      </c>
      <c r="J188" t="s">
        <v>249</v>
      </c>
      <c r="K188" t="s">
        <v>41</v>
      </c>
      <c r="L188" t="s">
        <v>42</v>
      </c>
      <c r="M188" t="s">
        <v>677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</row>
    <row r="189" spans="1:22" x14ac:dyDescent="0.3">
      <c r="A189" t="s">
        <v>678</v>
      </c>
      <c r="B189" s="4">
        <v>45662</v>
      </c>
      <c r="C189" s="3">
        <v>45693</v>
      </c>
      <c r="D189" s="5">
        <f t="shared" si="2"/>
        <v>31</v>
      </c>
      <c r="E189" t="s">
        <v>679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680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</row>
    <row r="190" spans="1:22" x14ac:dyDescent="0.3">
      <c r="A190" t="s">
        <v>681</v>
      </c>
      <c r="B190" s="4">
        <v>45798</v>
      </c>
      <c r="C190" s="3">
        <v>45805</v>
      </c>
      <c r="D190" s="5">
        <f t="shared" si="2"/>
        <v>7</v>
      </c>
      <c r="E190" t="s">
        <v>682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683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</row>
    <row r="191" spans="1:22" x14ac:dyDescent="0.3">
      <c r="A191" t="s">
        <v>684</v>
      </c>
      <c r="B191" s="4">
        <v>45813</v>
      </c>
      <c r="C191" s="3">
        <v>45843</v>
      </c>
      <c r="D191" s="5">
        <f t="shared" si="2"/>
        <v>30</v>
      </c>
      <c r="E191" t="s">
        <v>685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686</v>
      </c>
      <c r="N191" t="s">
        <v>50</v>
      </c>
      <c r="O191">
        <v>9</v>
      </c>
      <c r="P191">
        <v>3318.24</v>
      </c>
      <c r="R191">
        <v>25384.54</v>
      </c>
      <c r="S191">
        <v>16872.39</v>
      </c>
      <c r="T191">
        <v>8512.15</v>
      </c>
      <c r="U191" t="s">
        <v>32</v>
      </c>
      <c r="V191" t="s">
        <v>687</v>
      </c>
    </row>
    <row r="192" spans="1:22" x14ac:dyDescent="0.3">
      <c r="A192" t="s">
        <v>688</v>
      </c>
      <c r="B192" s="4">
        <v>45767</v>
      </c>
      <c r="C192" s="4">
        <v>45768</v>
      </c>
      <c r="D192" s="5">
        <f t="shared" si="2"/>
        <v>1</v>
      </c>
      <c r="E192" t="s">
        <v>689</v>
      </c>
      <c r="F192" t="s">
        <v>89</v>
      </c>
      <c r="G192" t="s">
        <v>24</v>
      </c>
      <c r="H192" t="s">
        <v>54</v>
      </c>
      <c r="I192" t="s">
        <v>248</v>
      </c>
      <c r="J192" t="s">
        <v>249</v>
      </c>
      <c r="K192" t="s">
        <v>28</v>
      </c>
      <c r="L192" t="s">
        <v>124</v>
      </c>
      <c r="M192" t="s">
        <v>690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</row>
    <row r="193" spans="1:22" x14ac:dyDescent="0.3">
      <c r="A193" t="s">
        <v>691</v>
      </c>
      <c r="B193" s="4">
        <v>45584</v>
      </c>
      <c r="C193" s="4">
        <v>45589</v>
      </c>
      <c r="D193" s="5">
        <f t="shared" si="2"/>
        <v>5</v>
      </c>
      <c r="E193" t="s">
        <v>692</v>
      </c>
      <c r="F193" t="s">
        <v>132</v>
      </c>
      <c r="G193" t="s">
        <v>37</v>
      </c>
      <c r="H193" t="s">
        <v>54</v>
      </c>
      <c r="I193" t="s">
        <v>248</v>
      </c>
      <c r="J193" t="s">
        <v>249</v>
      </c>
      <c r="K193" t="s">
        <v>41</v>
      </c>
      <c r="L193" t="s">
        <v>158</v>
      </c>
      <c r="M193" t="s">
        <v>693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</row>
    <row r="194" spans="1:22" x14ac:dyDescent="0.3">
      <c r="A194" t="s">
        <v>694</v>
      </c>
      <c r="B194" s="4">
        <v>45547</v>
      </c>
      <c r="C194" s="4">
        <v>45642</v>
      </c>
      <c r="D194" s="5">
        <f t="shared" si="2"/>
        <v>95</v>
      </c>
      <c r="E194" t="s">
        <v>695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696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</row>
    <row r="195" spans="1:22" x14ac:dyDescent="0.3">
      <c r="A195" t="s">
        <v>697</v>
      </c>
      <c r="B195" s="4">
        <v>45466</v>
      </c>
      <c r="C195" s="4">
        <v>45471</v>
      </c>
      <c r="D195" s="5">
        <f t="shared" ref="D195:D258" si="3">C195-B195</f>
        <v>5</v>
      </c>
      <c r="E195" t="s">
        <v>698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699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</row>
    <row r="196" spans="1:22" x14ac:dyDescent="0.3">
      <c r="A196" t="s">
        <v>700</v>
      </c>
      <c r="B196" s="4">
        <v>45685</v>
      </c>
      <c r="C196" s="4">
        <v>45688</v>
      </c>
      <c r="D196" s="5">
        <f t="shared" si="3"/>
        <v>3</v>
      </c>
      <c r="E196" t="s">
        <v>701</v>
      </c>
      <c r="F196" t="s">
        <v>114</v>
      </c>
      <c r="G196" t="s">
        <v>24</v>
      </c>
      <c r="H196" t="s">
        <v>702</v>
      </c>
      <c r="I196" t="s">
        <v>64</v>
      </c>
      <c r="J196" t="s">
        <v>65</v>
      </c>
      <c r="K196" t="s">
        <v>41</v>
      </c>
      <c r="L196" t="s">
        <v>57</v>
      </c>
      <c r="M196" t="s">
        <v>703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</row>
    <row r="197" spans="1:22" x14ac:dyDescent="0.3">
      <c r="A197" t="s">
        <v>704</v>
      </c>
      <c r="B197" s="3">
        <v>45860</v>
      </c>
      <c r="C197" s="4">
        <v>45862</v>
      </c>
      <c r="D197" s="5">
        <f t="shared" si="3"/>
        <v>2</v>
      </c>
      <c r="E197" t="s">
        <v>705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706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</row>
    <row r="198" spans="1:22" x14ac:dyDescent="0.3">
      <c r="A198" t="s">
        <v>707</v>
      </c>
      <c r="B198" s="4">
        <v>45313</v>
      </c>
      <c r="C198" s="3">
        <v>45316</v>
      </c>
      <c r="D198" s="5">
        <f t="shared" si="3"/>
        <v>3</v>
      </c>
      <c r="E198" t="s">
        <v>708</v>
      </c>
      <c r="F198" t="s">
        <v>265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709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</row>
    <row r="199" spans="1:22" x14ac:dyDescent="0.3">
      <c r="A199" t="s">
        <v>710</v>
      </c>
      <c r="B199" s="3">
        <v>45747</v>
      </c>
      <c r="C199" s="4">
        <v>45842</v>
      </c>
      <c r="D199" s="5">
        <f t="shared" si="3"/>
        <v>95</v>
      </c>
      <c r="E199" t="s">
        <v>391</v>
      </c>
      <c r="F199" t="s">
        <v>118</v>
      </c>
      <c r="G199" t="s">
        <v>477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711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</row>
    <row r="200" spans="1:22" x14ac:dyDescent="0.3">
      <c r="A200" t="s">
        <v>712</v>
      </c>
      <c r="B200" s="4">
        <v>45418</v>
      </c>
      <c r="C200" s="4">
        <v>45449</v>
      </c>
      <c r="D200" s="5">
        <f t="shared" si="3"/>
        <v>31</v>
      </c>
      <c r="E200" t="s">
        <v>713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714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</row>
    <row r="201" spans="1:22" x14ac:dyDescent="0.3">
      <c r="A201" t="s">
        <v>715</v>
      </c>
      <c r="B201" s="4">
        <v>45363</v>
      </c>
      <c r="C201" s="4">
        <v>45629</v>
      </c>
      <c r="D201" s="5">
        <f t="shared" si="3"/>
        <v>266</v>
      </c>
      <c r="E201" t="s">
        <v>716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275</v>
      </c>
      <c r="M201" t="s">
        <v>717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</row>
    <row r="202" spans="1:22" x14ac:dyDescent="0.3">
      <c r="A202" t="s">
        <v>718</v>
      </c>
      <c r="B202" s="4">
        <v>45835</v>
      </c>
      <c r="C202" s="3">
        <v>45784</v>
      </c>
      <c r="D202" s="5">
        <f t="shared" si="3"/>
        <v>-51</v>
      </c>
      <c r="E202" t="s">
        <v>719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720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</row>
    <row r="203" spans="1:22" x14ac:dyDescent="0.3">
      <c r="A203" t="s">
        <v>721</v>
      </c>
      <c r="B203" s="4">
        <v>45864</v>
      </c>
      <c r="C203" s="4">
        <v>45872</v>
      </c>
      <c r="D203" s="5">
        <f t="shared" si="3"/>
        <v>8</v>
      </c>
      <c r="E203" t="s">
        <v>722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723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</row>
    <row r="204" spans="1:22" x14ac:dyDescent="0.3">
      <c r="A204" t="s">
        <v>724</v>
      </c>
      <c r="B204" s="4">
        <v>45744</v>
      </c>
      <c r="C204" s="3">
        <v>45744</v>
      </c>
      <c r="D204" s="5">
        <f t="shared" si="3"/>
        <v>0</v>
      </c>
      <c r="E204" t="s">
        <v>725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726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</row>
    <row r="205" spans="1:22" x14ac:dyDescent="0.3">
      <c r="A205" t="s">
        <v>727</v>
      </c>
      <c r="B205" s="3">
        <v>45379</v>
      </c>
      <c r="C205" s="4">
        <v>45381</v>
      </c>
      <c r="D205" s="5">
        <f t="shared" si="3"/>
        <v>2</v>
      </c>
      <c r="E205" t="s">
        <v>728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729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</row>
    <row r="206" spans="1:22" x14ac:dyDescent="0.3">
      <c r="A206" t="s">
        <v>730</v>
      </c>
      <c r="B206" s="4">
        <v>45858</v>
      </c>
      <c r="C206" s="4">
        <v>45861</v>
      </c>
      <c r="D206" s="5">
        <f t="shared" si="3"/>
        <v>3</v>
      </c>
      <c r="E206" t="s">
        <v>731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732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</row>
    <row r="207" spans="1:22" x14ac:dyDescent="0.3">
      <c r="A207" t="s">
        <v>733</v>
      </c>
      <c r="B207" s="4">
        <v>45768</v>
      </c>
      <c r="C207" s="4">
        <v>45773</v>
      </c>
      <c r="D207" s="5">
        <f t="shared" si="3"/>
        <v>5</v>
      </c>
      <c r="E207" t="s">
        <v>734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616</v>
      </c>
      <c r="L207" t="s">
        <v>91</v>
      </c>
      <c r="M207" t="s">
        <v>735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</row>
    <row r="208" spans="1:22" x14ac:dyDescent="0.3">
      <c r="A208" t="s">
        <v>736</v>
      </c>
      <c r="B208" s="4">
        <v>45795</v>
      </c>
      <c r="C208" s="3">
        <v>45797</v>
      </c>
      <c r="D208" s="5">
        <f t="shared" si="3"/>
        <v>2</v>
      </c>
      <c r="E208" t="s">
        <v>737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738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</row>
    <row r="209" spans="1:22" x14ac:dyDescent="0.3">
      <c r="A209" t="s">
        <v>739</v>
      </c>
      <c r="B209" s="3">
        <v>45572</v>
      </c>
      <c r="C209" s="4">
        <v>45489</v>
      </c>
      <c r="D209" s="5">
        <f t="shared" si="3"/>
        <v>-83</v>
      </c>
      <c r="E209" t="s">
        <v>740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741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</row>
    <row r="210" spans="1:22" x14ac:dyDescent="0.3">
      <c r="A210" t="s">
        <v>742</v>
      </c>
      <c r="B210" s="4">
        <v>45837</v>
      </c>
      <c r="C210" s="4">
        <v>45784</v>
      </c>
      <c r="D210" s="5">
        <f t="shared" si="3"/>
        <v>-53</v>
      </c>
      <c r="E210" t="s">
        <v>743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744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</row>
    <row r="211" spans="1:22" x14ac:dyDescent="0.3">
      <c r="A211" t="s">
        <v>745</v>
      </c>
      <c r="B211" s="4">
        <v>45882</v>
      </c>
      <c r="C211" s="4">
        <v>45883</v>
      </c>
      <c r="D211" s="5">
        <f t="shared" si="3"/>
        <v>1</v>
      </c>
      <c r="E211" t="s">
        <v>746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747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</row>
    <row r="212" spans="1:22" x14ac:dyDescent="0.3">
      <c r="A212" t="s">
        <v>748</v>
      </c>
      <c r="B212" s="4">
        <v>45366</v>
      </c>
      <c r="C212" s="4">
        <v>45369</v>
      </c>
      <c r="D212" s="5">
        <f t="shared" si="3"/>
        <v>3</v>
      </c>
      <c r="E212" t="s">
        <v>749</v>
      </c>
      <c r="F212" t="s">
        <v>265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275</v>
      </c>
      <c r="M212" t="s">
        <v>750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</row>
    <row r="213" spans="1:22" x14ac:dyDescent="0.3">
      <c r="A213" t="s">
        <v>751</v>
      </c>
      <c r="B213" s="4">
        <v>45428</v>
      </c>
      <c r="C213" s="4">
        <v>45429</v>
      </c>
      <c r="D213" s="5">
        <f t="shared" si="3"/>
        <v>1</v>
      </c>
      <c r="E213" t="s">
        <v>752</v>
      </c>
      <c r="F213" t="s">
        <v>141</v>
      </c>
      <c r="G213" t="s">
        <v>90</v>
      </c>
      <c r="H213" t="s">
        <v>753</v>
      </c>
      <c r="I213" t="s">
        <v>99</v>
      </c>
      <c r="J213" t="s">
        <v>100</v>
      </c>
      <c r="K213" t="s">
        <v>74</v>
      </c>
      <c r="L213" t="s">
        <v>80</v>
      </c>
      <c r="M213" t="s">
        <v>754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</row>
    <row r="214" spans="1:22" x14ac:dyDescent="0.3">
      <c r="A214" t="s">
        <v>755</v>
      </c>
      <c r="B214" s="4">
        <v>45556</v>
      </c>
      <c r="C214" s="4">
        <v>45556</v>
      </c>
      <c r="D214" s="5">
        <f t="shared" si="3"/>
        <v>0</v>
      </c>
      <c r="E214" t="s">
        <v>756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757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</row>
    <row r="215" spans="1:22" x14ac:dyDescent="0.3">
      <c r="A215" t="s">
        <v>758</v>
      </c>
      <c r="B215" s="3">
        <v>45427</v>
      </c>
      <c r="C215" s="4">
        <v>45433</v>
      </c>
      <c r="D215" s="5">
        <f t="shared" si="3"/>
        <v>6</v>
      </c>
      <c r="E215" t="s">
        <v>759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760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</row>
    <row r="216" spans="1:22" x14ac:dyDescent="0.3">
      <c r="A216" t="s">
        <v>761</v>
      </c>
      <c r="B216" s="3">
        <v>45368</v>
      </c>
      <c r="C216" s="4">
        <v>45374</v>
      </c>
      <c r="D216" s="5">
        <f t="shared" si="3"/>
        <v>6</v>
      </c>
      <c r="E216" t="s">
        <v>762</v>
      </c>
      <c r="F216" t="s">
        <v>118</v>
      </c>
      <c r="G216" t="s">
        <v>24</v>
      </c>
      <c r="H216" t="s">
        <v>25</v>
      </c>
      <c r="I216" t="s">
        <v>237</v>
      </c>
      <c r="J216" t="s">
        <v>238</v>
      </c>
      <c r="K216" t="s">
        <v>74</v>
      </c>
      <c r="L216" t="s">
        <v>75</v>
      </c>
      <c r="M216" t="s">
        <v>763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</row>
    <row r="217" spans="1:22" x14ac:dyDescent="0.3">
      <c r="A217" t="s">
        <v>764</v>
      </c>
      <c r="B217" s="4">
        <v>45294</v>
      </c>
      <c r="C217" s="4">
        <v>45385</v>
      </c>
      <c r="D217" s="5">
        <f t="shared" si="3"/>
        <v>91</v>
      </c>
      <c r="E217" t="s">
        <v>765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766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</row>
    <row r="218" spans="1:22" x14ac:dyDescent="0.3">
      <c r="A218" t="s">
        <v>767</v>
      </c>
      <c r="B218" s="4">
        <v>45757</v>
      </c>
      <c r="C218" s="3">
        <v>45762</v>
      </c>
      <c r="D218" s="5">
        <f t="shared" si="3"/>
        <v>5</v>
      </c>
      <c r="E218" t="s">
        <v>768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769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</row>
    <row r="219" spans="1:22" x14ac:dyDescent="0.3">
      <c r="A219" t="s">
        <v>770</v>
      </c>
      <c r="B219" s="4">
        <v>45661</v>
      </c>
      <c r="C219" s="4">
        <v>45755</v>
      </c>
      <c r="D219" s="5">
        <f t="shared" si="3"/>
        <v>94</v>
      </c>
      <c r="E219" t="s">
        <v>771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772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</row>
    <row r="220" spans="1:22" x14ac:dyDescent="0.3">
      <c r="A220" t="s">
        <v>773</v>
      </c>
      <c r="B220" s="3">
        <v>45714</v>
      </c>
      <c r="C220" s="4">
        <v>45715</v>
      </c>
      <c r="D220" s="5">
        <f t="shared" si="3"/>
        <v>1</v>
      </c>
      <c r="E220" t="s">
        <v>774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775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</row>
    <row r="221" spans="1:22" x14ac:dyDescent="0.3">
      <c r="A221" t="s">
        <v>776</v>
      </c>
      <c r="B221" s="4">
        <v>45461</v>
      </c>
      <c r="C221" s="4">
        <v>45462</v>
      </c>
      <c r="D221" s="5">
        <f t="shared" si="3"/>
        <v>1</v>
      </c>
      <c r="E221" t="s">
        <v>777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275</v>
      </c>
      <c r="M221" t="s">
        <v>778</v>
      </c>
      <c r="N221" t="s">
        <v>50</v>
      </c>
      <c r="O221">
        <v>2</v>
      </c>
      <c r="P221">
        <v>121.49</v>
      </c>
      <c r="Q221" t="s">
        <v>779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</row>
    <row r="222" spans="1:22" x14ac:dyDescent="0.3">
      <c r="A222" t="s">
        <v>780</v>
      </c>
      <c r="B222" s="4">
        <v>45538</v>
      </c>
      <c r="C222" s="4">
        <v>45538</v>
      </c>
      <c r="D222" s="5">
        <f t="shared" si="3"/>
        <v>0</v>
      </c>
      <c r="E222" t="s">
        <v>781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782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</row>
    <row r="223" spans="1:22" x14ac:dyDescent="0.3">
      <c r="A223" t="s">
        <v>783</v>
      </c>
      <c r="B223" s="4">
        <v>45992</v>
      </c>
      <c r="C223" s="4">
        <v>45672</v>
      </c>
      <c r="D223" s="5">
        <f t="shared" si="3"/>
        <v>-320</v>
      </c>
      <c r="E223" t="s">
        <v>784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785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</row>
    <row r="224" spans="1:22" x14ac:dyDescent="0.3">
      <c r="A224" t="s">
        <v>786</v>
      </c>
      <c r="B224" s="4">
        <v>45776</v>
      </c>
      <c r="C224" s="3">
        <v>45693</v>
      </c>
      <c r="D224" s="5">
        <f t="shared" si="3"/>
        <v>-83</v>
      </c>
      <c r="E224" t="s">
        <v>787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788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</row>
    <row r="225" spans="1:22" x14ac:dyDescent="0.3">
      <c r="A225" t="s">
        <v>789</v>
      </c>
      <c r="B225" s="4">
        <v>45707</v>
      </c>
      <c r="C225" s="4">
        <v>45714</v>
      </c>
      <c r="D225" s="5">
        <f t="shared" si="3"/>
        <v>7</v>
      </c>
      <c r="E225" t="s">
        <v>790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791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</row>
    <row r="226" spans="1:22" x14ac:dyDescent="0.3">
      <c r="A226" t="s">
        <v>792</v>
      </c>
      <c r="B226" s="4">
        <v>45932</v>
      </c>
      <c r="C226" s="3">
        <v>45879</v>
      </c>
      <c r="D226" s="5">
        <f t="shared" si="3"/>
        <v>-53</v>
      </c>
      <c r="E226" t="s">
        <v>793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794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</row>
    <row r="227" spans="1:22" x14ac:dyDescent="0.3">
      <c r="A227" t="s">
        <v>795</v>
      </c>
      <c r="B227" s="3">
        <v>45331</v>
      </c>
      <c r="C227" s="4">
        <v>45574</v>
      </c>
      <c r="D227" s="5">
        <f t="shared" si="3"/>
        <v>243</v>
      </c>
      <c r="E227" t="s">
        <v>796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797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</row>
    <row r="228" spans="1:22" x14ac:dyDescent="0.3">
      <c r="A228" t="s">
        <v>798</v>
      </c>
      <c r="B228" s="4">
        <v>45934</v>
      </c>
      <c r="C228" s="3">
        <v>45762</v>
      </c>
      <c r="D228" s="5">
        <f t="shared" si="3"/>
        <v>-172</v>
      </c>
      <c r="E228" t="s">
        <v>799</v>
      </c>
      <c r="F228" t="s">
        <v>162</v>
      </c>
      <c r="G228" t="s">
        <v>95</v>
      </c>
      <c r="I228" t="s">
        <v>185</v>
      </c>
      <c r="J228" t="s">
        <v>186</v>
      </c>
      <c r="K228" t="s">
        <v>74</v>
      </c>
      <c r="L228" t="s">
        <v>80</v>
      </c>
      <c r="M228" t="s">
        <v>800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</row>
    <row r="229" spans="1:22" x14ac:dyDescent="0.3">
      <c r="A229" t="s">
        <v>801</v>
      </c>
      <c r="B229" s="4">
        <v>45419</v>
      </c>
      <c r="C229" s="3">
        <v>45633</v>
      </c>
      <c r="D229" s="5">
        <f t="shared" si="3"/>
        <v>214</v>
      </c>
      <c r="E229" t="s">
        <v>802</v>
      </c>
      <c r="F229" t="s">
        <v>62</v>
      </c>
      <c r="G229" t="s">
        <v>803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804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</row>
    <row r="230" spans="1:22" x14ac:dyDescent="0.3">
      <c r="A230" t="s">
        <v>805</v>
      </c>
      <c r="B230" s="4">
        <v>45406</v>
      </c>
      <c r="C230" s="3">
        <v>45410</v>
      </c>
      <c r="D230" s="5">
        <f t="shared" si="3"/>
        <v>4</v>
      </c>
      <c r="E230" t="s">
        <v>806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807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</row>
    <row r="231" spans="1:22" x14ac:dyDescent="0.3">
      <c r="A231" t="s">
        <v>808</v>
      </c>
      <c r="B231" s="4">
        <v>45836</v>
      </c>
      <c r="C231" s="4">
        <v>45842</v>
      </c>
      <c r="D231" s="5">
        <f t="shared" si="3"/>
        <v>6</v>
      </c>
      <c r="E231" t="s">
        <v>809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810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</row>
    <row r="232" spans="1:22" x14ac:dyDescent="0.3">
      <c r="A232" t="s">
        <v>811</v>
      </c>
      <c r="B232" s="4">
        <v>45440</v>
      </c>
      <c r="C232" s="4">
        <v>45357</v>
      </c>
      <c r="D232" s="5">
        <f t="shared" si="3"/>
        <v>-83</v>
      </c>
      <c r="E232" t="s">
        <v>812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813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</row>
    <row r="233" spans="1:22" x14ac:dyDescent="0.3">
      <c r="A233" t="s">
        <v>814</v>
      </c>
      <c r="B233" s="4">
        <v>45327</v>
      </c>
      <c r="C233" s="4">
        <v>45414</v>
      </c>
      <c r="D233" s="5">
        <f t="shared" si="3"/>
        <v>87</v>
      </c>
      <c r="E233" t="s">
        <v>815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816</v>
      </c>
      <c r="L233" t="s">
        <v>91</v>
      </c>
      <c r="M233" t="s">
        <v>817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</row>
    <row r="234" spans="1:22" x14ac:dyDescent="0.3">
      <c r="A234" t="s">
        <v>818</v>
      </c>
      <c r="B234" s="4">
        <v>45753</v>
      </c>
      <c r="C234" s="4">
        <v>45936</v>
      </c>
      <c r="D234" s="5">
        <f t="shared" si="3"/>
        <v>183</v>
      </c>
      <c r="E234" t="s">
        <v>819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820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</row>
    <row r="235" spans="1:22" x14ac:dyDescent="0.3">
      <c r="A235" t="s">
        <v>821</v>
      </c>
      <c r="B235" s="4">
        <v>45579</v>
      </c>
      <c r="C235" s="4">
        <v>45579</v>
      </c>
      <c r="D235" s="5">
        <f t="shared" si="3"/>
        <v>0</v>
      </c>
      <c r="E235" t="s">
        <v>822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823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</row>
    <row r="236" spans="1:22" x14ac:dyDescent="0.3">
      <c r="A236" t="s">
        <v>824</v>
      </c>
      <c r="B236" s="4">
        <v>45537</v>
      </c>
      <c r="C236" s="3">
        <v>45360</v>
      </c>
      <c r="D236" s="5">
        <f t="shared" si="3"/>
        <v>-177</v>
      </c>
      <c r="E236" t="s">
        <v>825</v>
      </c>
      <c r="F236" t="s">
        <v>265</v>
      </c>
      <c r="G236" t="s">
        <v>95</v>
      </c>
      <c r="H236" t="s">
        <v>25</v>
      </c>
      <c r="I236" t="s">
        <v>351</v>
      </c>
      <c r="J236" t="s">
        <v>352</v>
      </c>
      <c r="K236" t="s">
        <v>41</v>
      </c>
      <c r="L236" t="s">
        <v>57</v>
      </c>
      <c r="M236" t="s">
        <v>826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</row>
    <row r="237" spans="1:22" x14ac:dyDescent="0.3">
      <c r="A237" t="s">
        <v>827</v>
      </c>
      <c r="B237" s="4">
        <v>45598</v>
      </c>
      <c r="C237" s="4">
        <v>45599</v>
      </c>
      <c r="D237" s="5">
        <f t="shared" si="3"/>
        <v>1</v>
      </c>
      <c r="E237" t="s">
        <v>828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829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</row>
    <row r="238" spans="1:22" x14ac:dyDescent="0.3">
      <c r="A238" t="s">
        <v>830</v>
      </c>
      <c r="B238" s="4">
        <v>45579</v>
      </c>
      <c r="C238" s="3">
        <v>45586</v>
      </c>
      <c r="D238" s="5">
        <f t="shared" si="3"/>
        <v>7</v>
      </c>
      <c r="E238" t="s">
        <v>831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832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</row>
    <row r="239" spans="1:22" x14ac:dyDescent="0.3">
      <c r="A239" t="s">
        <v>833</v>
      </c>
      <c r="B239" s="4">
        <v>45531</v>
      </c>
      <c r="C239" s="4">
        <v>45531</v>
      </c>
      <c r="D239" s="5">
        <f t="shared" si="3"/>
        <v>0</v>
      </c>
      <c r="E239" t="s">
        <v>834</v>
      </c>
      <c r="F239" t="s">
        <v>36</v>
      </c>
      <c r="G239" t="s">
        <v>24</v>
      </c>
      <c r="H239" t="s">
        <v>25</v>
      </c>
      <c r="I239" t="s">
        <v>237</v>
      </c>
      <c r="J239" t="s">
        <v>238</v>
      </c>
      <c r="K239" t="s">
        <v>74</v>
      </c>
      <c r="L239" t="s">
        <v>80</v>
      </c>
      <c r="M239" t="s">
        <v>835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</row>
    <row r="240" spans="1:22" x14ac:dyDescent="0.3">
      <c r="A240" t="s">
        <v>836</v>
      </c>
      <c r="B240" s="4">
        <v>45303</v>
      </c>
      <c r="C240" s="4">
        <v>45308</v>
      </c>
      <c r="D240" s="5">
        <f t="shared" si="3"/>
        <v>5</v>
      </c>
      <c r="E240" t="s">
        <v>837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838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</row>
    <row r="241" spans="1:22" x14ac:dyDescent="0.3">
      <c r="A241" t="s">
        <v>839</v>
      </c>
      <c r="B241" s="4">
        <v>45556</v>
      </c>
      <c r="C241" s="4">
        <v>45556</v>
      </c>
      <c r="D241" s="5">
        <f t="shared" si="3"/>
        <v>0</v>
      </c>
      <c r="E241" t="s">
        <v>840</v>
      </c>
      <c r="F241" t="s">
        <v>265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275</v>
      </c>
      <c r="M241" t="s">
        <v>841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</row>
    <row r="242" spans="1:22" x14ac:dyDescent="0.3">
      <c r="A242" t="s">
        <v>842</v>
      </c>
      <c r="B242" s="3">
        <v>45643</v>
      </c>
      <c r="C242" s="4">
        <v>45649</v>
      </c>
      <c r="D242" s="5">
        <f t="shared" si="3"/>
        <v>6</v>
      </c>
      <c r="E242" t="s">
        <v>843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844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</row>
    <row r="243" spans="1:22" x14ac:dyDescent="0.3">
      <c r="A243" t="s">
        <v>845</v>
      </c>
      <c r="B243" s="4">
        <v>45844</v>
      </c>
      <c r="C243" s="4">
        <v>45815</v>
      </c>
      <c r="D243" s="5">
        <f t="shared" si="3"/>
        <v>-29</v>
      </c>
      <c r="E243" t="s">
        <v>846</v>
      </c>
      <c r="F243" t="s">
        <v>132</v>
      </c>
      <c r="G243" t="s">
        <v>90</v>
      </c>
      <c r="H243" t="s">
        <v>25</v>
      </c>
      <c r="I243" t="s">
        <v>237</v>
      </c>
      <c r="J243" t="s">
        <v>238</v>
      </c>
      <c r="K243" t="s">
        <v>28</v>
      </c>
      <c r="L243" t="s">
        <v>124</v>
      </c>
      <c r="M243" t="s">
        <v>847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</row>
    <row r="244" spans="1:22" x14ac:dyDescent="0.3">
      <c r="A244" t="s">
        <v>848</v>
      </c>
      <c r="B244" s="3">
        <v>45840</v>
      </c>
      <c r="C244" s="4">
        <v>45840</v>
      </c>
      <c r="D244" s="5">
        <f t="shared" si="3"/>
        <v>0</v>
      </c>
      <c r="E244" t="s">
        <v>849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850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</row>
    <row r="245" spans="1:22" x14ac:dyDescent="0.3">
      <c r="A245" t="s">
        <v>851</v>
      </c>
      <c r="B245" s="4">
        <v>45867</v>
      </c>
      <c r="C245" s="3">
        <v>45696</v>
      </c>
      <c r="D245" s="5">
        <f t="shared" si="3"/>
        <v>-171</v>
      </c>
      <c r="E245" t="s">
        <v>852</v>
      </c>
      <c r="F245" t="s">
        <v>132</v>
      </c>
      <c r="G245" t="s">
        <v>37</v>
      </c>
      <c r="I245" t="s">
        <v>72</v>
      </c>
      <c r="J245" t="s">
        <v>73</v>
      </c>
      <c r="K245" t="s">
        <v>74</v>
      </c>
      <c r="L245" t="s">
        <v>75</v>
      </c>
      <c r="M245" t="s">
        <v>853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687</v>
      </c>
    </row>
    <row r="246" spans="1:22" x14ac:dyDescent="0.3">
      <c r="A246" t="s">
        <v>854</v>
      </c>
      <c r="B246" s="4">
        <v>45527</v>
      </c>
      <c r="C246" s="4">
        <v>45528</v>
      </c>
      <c r="D246" s="5">
        <f t="shared" si="3"/>
        <v>1</v>
      </c>
      <c r="E246" t="s">
        <v>855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856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</row>
    <row r="247" spans="1:22" x14ac:dyDescent="0.3">
      <c r="A247" t="s">
        <v>857</v>
      </c>
      <c r="B247" s="4">
        <v>45583</v>
      </c>
      <c r="C247" s="4">
        <v>45589</v>
      </c>
      <c r="D247" s="5">
        <f t="shared" si="3"/>
        <v>6</v>
      </c>
      <c r="E247" t="s">
        <v>858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859</v>
      </c>
      <c r="L247" t="s">
        <v>66</v>
      </c>
      <c r="M247" t="s">
        <v>860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</row>
    <row r="248" spans="1:22" x14ac:dyDescent="0.3">
      <c r="A248" t="s">
        <v>861</v>
      </c>
      <c r="B248" s="3">
        <v>45387</v>
      </c>
      <c r="C248" s="3">
        <v>45540</v>
      </c>
      <c r="D248" s="5">
        <f t="shared" si="3"/>
        <v>153</v>
      </c>
      <c r="E248" t="s">
        <v>862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275</v>
      </c>
      <c r="M248" t="s">
        <v>863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</row>
    <row r="249" spans="1:22" x14ac:dyDescent="0.3">
      <c r="A249" t="s">
        <v>864</v>
      </c>
      <c r="B249" s="4">
        <v>45498</v>
      </c>
      <c r="C249" s="3">
        <v>45299</v>
      </c>
      <c r="D249" s="5">
        <f t="shared" si="3"/>
        <v>-199</v>
      </c>
      <c r="E249" t="s">
        <v>865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866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</row>
    <row r="250" spans="1:22" x14ac:dyDescent="0.3">
      <c r="A250" t="s">
        <v>867</v>
      </c>
      <c r="B250" s="4">
        <v>45445</v>
      </c>
      <c r="C250" s="4">
        <v>45479</v>
      </c>
      <c r="D250" s="5">
        <f t="shared" si="3"/>
        <v>34</v>
      </c>
      <c r="E250" t="s">
        <v>868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869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</row>
    <row r="251" spans="1:22" x14ac:dyDescent="0.3">
      <c r="A251" t="s">
        <v>870</v>
      </c>
      <c r="B251" s="4">
        <v>45870</v>
      </c>
      <c r="C251" s="4">
        <v>45871</v>
      </c>
      <c r="D251" s="5">
        <f t="shared" si="3"/>
        <v>1</v>
      </c>
      <c r="E251" t="s">
        <v>871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872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</row>
    <row r="252" spans="1:22" x14ac:dyDescent="0.3">
      <c r="A252" t="s">
        <v>873</v>
      </c>
      <c r="B252" s="4">
        <v>45343</v>
      </c>
      <c r="C252" s="4">
        <v>45349</v>
      </c>
      <c r="D252" s="5">
        <f t="shared" si="3"/>
        <v>6</v>
      </c>
      <c r="E252" t="s">
        <v>874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875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</row>
    <row r="253" spans="1:22" x14ac:dyDescent="0.3">
      <c r="A253" t="s">
        <v>876</v>
      </c>
      <c r="B253" s="4">
        <v>45812</v>
      </c>
      <c r="C253" s="4">
        <v>45757</v>
      </c>
      <c r="D253" s="5">
        <f t="shared" si="3"/>
        <v>-55</v>
      </c>
      <c r="E253" t="s">
        <v>877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878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</row>
    <row r="254" spans="1:22" x14ac:dyDescent="0.3">
      <c r="A254" t="s">
        <v>879</v>
      </c>
      <c r="B254" s="4">
        <v>45833</v>
      </c>
      <c r="C254" s="4">
        <v>45836</v>
      </c>
      <c r="D254" s="5">
        <f t="shared" si="3"/>
        <v>3</v>
      </c>
      <c r="E254" t="s">
        <v>880</v>
      </c>
      <c r="F254" t="s">
        <v>53</v>
      </c>
      <c r="G254" t="s">
        <v>90</v>
      </c>
      <c r="H254" t="s">
        <v>25</v>
      </c>
      <c r="I254" t="s">
        <v>237</v>
      </c>
      <c r="J254" t="s">
        <v>238</v>
      </c>
      <c r="K254" t="s">
        <v>28</v>
      </c>
      <c r="L254" t="s">
        <v>124</v>
      </c>
      <c r="M254" t="s">
        <v>881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</row>
    <row r="255" spans="1:22" x14ac:dyDescent="0.3">
      <c r="A255" t="s">
        <v>882</v>
      </c>
      <c r="B255" s="4">
        <v>45635</v>
      </c>
      <c r="C255" s="4">
        <v>45548</v>
      </c>
      <c r="D255" s="5">
        <f t="shared" si="3"/>
        <v>-87</v>
      </c>
      <c r="E255" t="s">
        <v>883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884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</row>
    <row r="256" spans="1:22" x14ac:dyDescent="0.3">
      <c r="A256" t="s">
        <v>885</v>
      </c>
      <c r="B256" s="4">
        <v>45658</v>
      </c>
      <c r="C256" s="4">
        <v>45717</v>
      </c>
      <c r="D256" s="5">
        <f t="shared" si="3"/>
        <v>59</v>
      </c>
      <c r="E256" t="s">
        <v>886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887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</row>
    <row r="257" spans="1:22" x14ac:dyDescent="0.3">
      <c r="A257" t="s">
        <v>888</v>
      </c>
      <c r="B257" s="4">
        <v>45749</v>
      </c>
      <c r="C257" s="4">
        <v>45698</v>
      </c>
      <c r="D257" s="5">
        <f t="shared" si="3"/>
        <v>-51</v>
      </c>
      <c r="E257" t="s">
        <v>889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890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</row>
    <row r="258" spans="1:22" x14ac:dyDescent="0.3">
      <c r="A258" t="s">
        <v>891</v>
      </c>
      <c r="B258" s="4">
        <v>45423</v>
      </c>
      <c r="C258" s="3">
        <v>45362</v>
      </c>
      <c r="D258" s="5">
        <f t="shared" si="3"/>
        <v>-61</v>
      </c>
      <c r="E258" t="s">
        <v>892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893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</row>
    <row r="259" spans="1:22" x14ac:dyDescent="0.3">
      <c r="A259" t="s">
        <v>894</v>
      </c>
      <c r="B259" s="4">
        <v>45908</v>
      </c>
      <c r="C259" s="4">
        <v>45999</v>
      </c>
      <c r="D259" s="5">
        <f t="shared" ref="D259:D322" si="4">C259-B259</f>
        <v>91</v>
      </c>
      <c r="E259" t="s">
        <v>895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896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</row>
    <row r="260" spans="1:22" x14ac:dyDescent="0.3">
      <c r="A260" t="s">
        <v>897</v>
      </c>
      <c r="B260" s="4">
        <v>45656</v>
      </c>
      <c r="C260" s="4">
        <v>45748</v>
      </c>
      <c r="D260" s="5">
        <f t="shared" si="4"/>
        <v>92</v>
      </c>
      <c r="E260" t="s">
        <v>898</v>
      </c>
      <c r="F260" t="s">
        <v>132</v>
      </c>
      <c r="G260" t="s">
        <v>90</v>
      </c>
      <c r="H260" t="s">
        <v>54</v>
      </c>
      <c r="I260" t="s">
        <v>248</v>
      </c>
      <c r="J260" t="s">
        <v>249</v>
      </c>
      <c r="K260" t="s">
        <v>41</v>
      </c>
      <c r="L260" t="s">
        <v>42</v>
      </c>
      <c r="M260" t="s">
        <v>899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</row>
    <row r="261" spans="1:22" x14ac:dyDescent="0.3">
      <c r="A261" t="s">
        <v>900</v>
      </c>
      <c r="B261" s="4">
        <v>45464</v>
      </c>
      <c r="C261" s="3">
        <v>45472</v>
      </c>
      <c r="D261" s="5">
        <f t="shared" si="4"/>
        <v>8</v>
      </c>
      <c r="E261" t="s">
        <v>901</v>
      </c>
      <c r="F261" t="s">
        <v>79</v>
      </c>
      <c r="G261" t="s">
        <v>24</v>
      </c>
      <c r="H261" t="s">
        <v>54</v>
      </c>
      <c r="I261" t="s">
        <v>248</v>
      </c>
      <c r="J261" t="s">
        <v>249</v>
      </c>
      <c r="K261" t="s">
        <v>74</v>
      </c>
      <c r="L261" t="s">
        <v>275</v>
      </c>
      <c r="M261" t="s">
        <v>902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</row>
    <row r="262" spans="1:22" x14ac:dyDescent="0.3">
      <c r="A262" t="s">
        <v>903</v>
      </c>
      <c r="B262" s="4">
        <v>45923</v>
      </c>
      <c r="C262" s="4">
        <v>45927</v>
      </c>
      <c r="D262" s="5">
        <f t="shared" si="4"/>
        <v>4</v>
      </c>
      <c r="E262" t="s">
        <v>904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905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</row>
    <row r="263" spans="1:22" x14ac:dyDescent="0.3">
      <c r="A263" t="s">
        <v>906</v>
      </c>
      <c r="B263" s="4">
        <v>45826</v>
      </c>
      <c r="C263" s="4">
        <v>45832</v>
      </c>
      <c r="D263" s="5">
        <f t="shared" si="4"/>
        <v>6</v>
      </c>
      <c r="E263" t="s">
        <v>907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908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</row>
    <row r="264" spans="1:22" x14ac:dyDescent="0.3">
      <c r="A264" t="s">
        <v>909</v>
      </c>
      <c r="B264" s="4">
        <v>45803</v>
      </c>
      <c r="C264" s="3">
        <v>45663</v>
      </c>
      <c r="D264" s="5">
        <f t="shared" si="4"/>
        <v>-140</v>
      </c>
      <c r="E264" t="s">
        <v>637</v>
      </c>
      <c r="F264" t="s">
        <v>53</v>
      </c>
      <c r="G264" t="s">
        <v>37</v>
      </c>
      <c r="H264" t="s">
        <v>25</v>
      </c>
      <c r="I264" t="s">
        <v>351</v>
      </c>
      <c r="J264" t="s">
        <v>352</v>
      </c>
      <c r="K264" t="s">
        <v>74</v>
      </c>
      <c r="L264" t="s">
        <v>171</v>
      </c>
      <c r="M264" t="s">
        <v>910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</row>
    <row r="265" spans="1:22" x14ac:dyDescent="0.3">
      <c r="A265" t="s">
        <v>911</v>
      </c>
      <c r="B265" s="3">
        <v>45816</v>
      </c>
      <c r="C265" s="4">
        <v>45938</v>
      </c>
      <c r="D265" s="5">
        <f t="shared" si="4"/>
        <v>122</v>
      </c>
      <c r="E265" t="s">
        <v>912</v>
      </c>
      <c r="F265" t="s">
        <v>141</v>
      </c>
      <c r="G265" t="s">
        <v>37</v>
      </c>
      <c r="H265" t="s">
        <v>25</v>
      </c>
      <c r="I265" t="s">
        <v>351</v>
      </c>
      <c r="J265" t="s">
        <v>352</v>
      </c>
      <c r="K265" t="s">
        <v>28</v>
      </c>
      <c r="L265" t="s">
        <v>153</v>
      </c>
      <c r="M265" t="s">
        <v>913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</row>
    <row r="266" spans="1:22" x14ac:dyDescent="0.3">
      <c r="A266" t="s">
        <v>914</v>
      </c>
      <c r="B266" s="4">
        <v>45428</v>
      </c>
      <c r="C266" s="4">
        <v>45433</v>
      </c>
      <c r="D266" s="5">
        <f t="shared" si="4"/>
        <v>5</v>
      </c>
      <c r="E266" t="s">
        <v>915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916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</row>
    <row r="267" spans="1:22" x14ac:dyDescent="0.3">
      <c r="A267" t="s">
        <v>917</v>
      </c>
      <c r="B267" s="3">
        <v>45610</v>
      </c>
      <c r="C267" s="4">
        <v>45618</v>
      </c>
      <c r="D267" s="5">
        <f t="shared" si="4"/>
        <v>8</v>
      </c>
      <c r="E267" t="s">
        <v>918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919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</row>
    <row r="268" spans="1:22" x14ac:dyDescent="0.3">
      <c r="A268" t="s">
        <v>920</v>
      </c>
      <c r="B268" s="4">
        <v>45721</v>
      </c>
      <c r="C268" s="4">
        <v>45935</v>
      </c>
      <c r="D268" s="5">
        <f t="shared" si="4"/>
        <v>214</v>
      </c>
      <c r="E268" t="s">
        <v>921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922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</row>
    <row r="269" spans="1:22" x14ac:dyDescent="0.3">
      <c r="A269" t="s">
        <v>923</v>
      </c>
      <c r="B269" s="3">
        <v>45805</v>
      </c>
      <c r="C269" s="4">
        <v>45753</v>
      </c>
      <c r="D269" s="5">
        <f t="shared" si="4"/>
        <v>-52</v>
      </c>
      <c r="E269" t="s">
        <v>924</v>
      </c>
      <c r="F269" t="s">
        <v>162</v>
      </c>
      <c r="G269" t="s">
        <v>90</v>
      </c>
      <c r="H269" t="s">
        <v>38</v>
      </c>
      <c r="I269" t="s">
        <v>229</v>
      </c>
      <c r="J269" t="s">
        <v>230</v>
      </c>
      <c r="K269" t="s">
        <v>41</v>
      </c>
      <c r="L269" t="s">
        <v>57</v>
      </c>
      <c r="M269" t="s">
        <v>925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</row>
    <row r="270" spans="1:22" x14ac:dyDescent="0.3">
      <c r="A270" t="s">
        <v>926</v>
      </c>
      <c r="B270" s="4">
        <v>45886</v>
      </c>
      <c r="C270" s="4">
        <v>45886</v>
      </c>
      <c r="D270" s="5">
        <f t="shared" si="4"/>
        <v>0</v>
      </c>
      <c r="E270" t="s">
        <v>927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928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</row>
    <row r="271" spans="1:22" x14ac:dyDescent="0.3">
      <c r="A271" t="s">
        <v>929</v>
      </c>
      <c r="B271" s="4">
        <v>45698</v>
      </c>
      <c r="C271" s="4">
        <v>45700</v>
      </c>
      <c r="D271" s="5">
        <f t="shared" si="4"/>
        <v>2</v>
      </c>
      <c r="E271" t="s">
        <v>930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931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</row>
    <row r="272" spans="1:22" x14ac:dyDescent="0.3">
      <c r="A272" t="s">
        <v>932</v>
      </c>
      <c r="B272" s="4">
        <v>45303</v>
      </c>
      <c r="C272" s="4">
        <v>45304</v>
      </c>
      <c r="D272" s="5">
        <f t="shared" si="4"/>
        <v>1</v>
      </c>
      <c r="E272" t="s">
        <v>933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275</v>
      </c>
      <c r="M272" t="s">
        <v>934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</row>
    <row r="273" spans="1:22" x14ac:dyDescent="0.3">
      <c r="A273" t="s">
        <v>935</v>
      </c>
      <c r="B273" s="3">
        <v>45647</v>
      </c>
      <c r="C273" s="3">
        <v>45651</v>
      </c>
      <c r="D273" s="5">
        <f t="shared" si="4"/>
        <v>4</v>
      </c>
      <c r="E273" t="s">
        <v>936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937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</row>
    <row r="274" spans="1:22" x14ac:dyDescent="0.3">
      <c r="A274" t="s">
        <v>938</v>
      </c>
      <c r="B274" s="4">
        <v>45522</v>
      </c>
      <c r="C274" s="3">
        <v>45528</v>
      </c>
      <c r="D274" s="5">
        <f t="shared" si="4"/>
        <v>6</v>
      </c>
      <c r="E274" t="s">
        <v>939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940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</row>
    <row r="275" spans="1:22" x14ac:dyDescent="0.3">
      <c r="A275" t="s">
        <v>941</v>
      </c>
      <c r="B275" s="4">
        <v>45701</v>
      </c>
      <c r="C275" s="3">
        <v>45701</v>
      </c>
      <c r="D275" s="5">
        <f t="shared" si="4"/>
        <v>0</v>
      </c>
      <c r="E275" t="s">
        <v>942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943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</row>
    <row r="276" spans="1:22" x14ac:dyDescent="0.3">
      <c r="A276" t="s">
        <v>944</v>
      </c>
      <c r="B276" s="4">
        <v>45477</v>
      </c>
      <c r="C276" s="4">
        <v>45396</v>
      </c>
      <c r="D276" s="5">
        <f t="shared" si="4"/>
        <v>-81</v>
      </c>
      <c r="E276" t="s">
        <v>945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946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</row>
    <row r="277" spans="1:22" x14ac:dyDescent="0.3">
      <c r="A277" t="s">
        <v>947</v>
      </c>
      <c r="B277" s="4">
        <v>45337</v>
      </c>
      <c r="C277" s="4">
        <v>45344</v>
      </c>
      <c r="D277" s="5">
        <f t="shared" si="4"/>
        <v>7</v>
      </c>
      <c r="E277" t="s">
        <v>948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949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</row>
    <row r="278" spans="1:22" x14ac:dyDescent="0.3">
      <c r="A278" t="s">
        <v>950</v>
      </c>
      <c r="B278" s="4">
        <v>45313</v>
      </c>
      <c r="C278" s="4">
        <v>45314</v>
      </c>
      <c r="D278" s="5">
        <f t="shared" si="4"/>
        <v>1</v>
      </c>
      <c r="E278" t="s">
        <v>951</v>
      </c>
      <c r="F278" t="s">
        <v>128</v>
      </c>
      <c r="G278" t="s">
        <v>37</v>
      </c>
      <c r="I278" t="s">
        <v>166</v>
      </c>
      <c r="J278" t="s">
        <v>167</v>
      </c>
      <c r="K278" t="s">
        <v>41</v>
      </c>
      <c r="L278" t="s">
        <v>66</v>
      </c>
      <c r="M278" t="s">
        <v>952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</row>
    <row r="279" spans="1:22" x14ac:dyDescent="0.3">
      <c r="A279" t="s">
        <v>953</v>
      </c>
      <c r="B279" s="3">
        <v>45753</v>
      </c>
      <c r="C279" s="3">
        <v>45753</v>
      </c>
      <c r="D279" s="5">
        <f t="shared" si="4"/>
        <v>0</v>
      </c>
      <c r="E279" t="s">
        <v>802</v>
      </c>
      <c r="F279" t="s">
        <v>47</v>
      </c>
      <c r="G279" t="s">
        <v>90</v>
      </c>
      <c r="H279" t="s">
        <v>25</v>
      </c>
      <c r="I279" t="s">
        <v>237</v>
      </c>
      <c r="J279" t="s">
        <v>238</v>
      </c>
      <c r="K279" t="s">
        <v>74</v>
      </c>
      <c r="L279" t="s">
        <v>75</v>
      </c>
      <c r="M279" t="s">
        <v>954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</row>
    <row r="280" spans="1:22" x14ac:dyDescent="0.3">
      <c r="A280" t="s">
        <v>955</v>
      </c>
      <c r="B280" s="4">
        <v>45841</v>
      </c>
      <c r="C280" s="4">
        <v>45730</v>
      </c>
      <c r="D280" s="5">
        <f t="shared" si="4"/>
        <v>-111</v>
      </c>
      <c r="E280" t="s">
        <v>956</v>
      </c>
      <c r="F280" t="s">
        <v>114</v>
      </c>
      <c r="G280" t="s">
        <v>37</v>
      </c>
      <c r="H280" t="s">
        <v>25</v>
      </c>
      <c r="I280" t="s">
        <v>351</v>
      </c>
      <c r="J280" t="s">
        <v>352</v>
      </c>
      <c r="K280" t="s">
        <v>74</v>
      </c>
      <c r="L280" t="s">
        <v>75</v>
      </c>
      <c r="M280" t="s">
        <v>957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</row>
    <row r="281" spans="1:22" x14ac:dyDescent="0.3">
      <c r="A281" t="s">
        <v>958</v>
      </c>
      <c r="B281" s="4">
        <v>45391</v>
      </c>
      <c r="C281" s="3">
        <v>45569</v>
      </c>
      <c r="D281" s="5">
        <f t="shared" si="4"/>
        <v>178</v>
      </c>
      <c r="E281" t="s">
        <v>959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960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</row>
    <row r="282" spans="1:22" x14ac:dyDescent="0.3">
      <c r="A282" t="s">
        <v>961</v>
      </c>
      <c r="B282" s="4">
        <v>45649</v>
      </c>
      <c r="C282" s="4">
        <v>45652</v>
      </c>
      <c r="D282" s="5">
        <f t="shared" si="4"/>
        <v>3</v>
      </c>
      <c r="E282" t="s">
        <v>962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963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</row>
    <row r="283" spans="1:22" x14ac:dyDescent="0.3">
      <c r="A283" t="s">
        <v>964</v>
      </c>
      <c r="B283" s="4">
        <v>45863</v>
      </c>
      <c r="C283" s="4">
        <v>45865</v>
      </c>
      <c r="D283" s="5">
        <f t="shared" si="4"/>
        <v>2</v>
      </c>
      <c r="E283" t="s">
        <v>965</v>
      </c>
      <c r="F283" t="s">
        <v>265</v>
      </c>
      <c r="G283" t="s">
        <v>24</v>
      </c>
      <c r="H283" t="s">
        <v>38</v>
      </c>
      <c r="I283" t="s">
        <v>229</v>
      </c>
      <c r="J283" t="s">
        <v>230</v>
      </c>
      <c r="K283" t="s">
        <v>28</v>
      </c>
      <c r="L283" t="s">
        <v>153</v>
      </c>
      <c r="M283" t="s">
        <v>966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</row>
    <row r="284" spans="1:22" x14ac:dyDescent="0.3">
      <c r="A284" t="s">
        <v>967</v>
      </c>
      <c r="B284" s="4">
        <v>45301</v>
      </c>
      <c r="C284" s="4">
        <v>45567</v>
      </c>
      <c r="D284" s="5">
        <f t="shared" si="4"/>
        <v>266</v>
      </c>
      <c r="E284" t="s">
        <v>968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969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</row>
    <row r="285" spans="1:22" x14ac:dyDescent="0.3">
      <c r="A285" t="s">
        <v>970</v>
      </c>
      <c r="B285" s="4">
        <v>45729</v>
      </c>
      <c r="C285" s="4">
        <v>45736</v>
      </c>
      <c r="D285" s="5">
        <f t="shared" si="4"/>
        <v>7</v>
      </c>
      <c r="E285" t="s">
        <v>971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972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</row>
    <row r="286" spans="1:22" x14ac:dyDescent="0.3">
      <c r="A286" t="s">
        <v>973</v>
      </c>
      <c r="B286" s="4">
        <v>45634</v>
      </c>
      <c r="C286" s="4">
        <v>45640</v>
      </c>
      <c r="D286" s="5">
        <f t="shared" si="4"/>
        <v>6</v>
      </c>
      <c r="E286" t="s">
        <v>974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975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</row>
    <row r="287" spans="1:22" x14ac:dyDescent="0.3">
      <c r="A287" t="s">
        <v>976</v>
      </c>
      <c r="B287" s="4">
        <v>45884</v>
      </c>
      <c r="C287" s="4">
        <v>45889</v>
      </c>
      <c r="D287" s="5">
        <f t="shared" si="4"/>
        <v>5</v>
      </c>
      <c r="E287" t="s">
        <v>977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978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</row>
    <row r="288" spans="1:22" x14ac:dyDescent="0.3">
      <c r="A288" t="s">
        <v>979</v>
      </c>
      <c r="B288" s="4">
        <v>45350</v>
      </c>
      <c r="C288" s="4">
        <v>45353</v>
      </c>
      <c r="D288" s="5">
        <f t="shared" si="4"/>
        <v>3</v>
      </c>
      <c r="E288" t="s">
        <v>980</v>
      </c>
      <c r="F288" t="s">
        <v>114</v>
      </c>
      <c r="G288" t="s">
        <v>37</v>
      </c>
      <c r="H288" t="s">
        <v>25</v>
      </c>
      <c r="I288" t="s">
        <v>351</v>
      </c>
      <c r="J288" t="s">
        <v>352</v>
      </c>
      <c r="K288" t="s">
        <v>41</v>
      </c>
      <c r="L288" t="s">
        <v>57</v>
      </c>
      <c r="M288" t="s">
        <v>981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</row>
    <row r="289" spans="1:22" x14ac:dyDescent="0.3">
      <c r="A289" t="s">
        <v>982</v>
      </c>
      <c r="B289" s="4">
        <v>45540</v>
      </c>
      <c r="C289" s="4">
        <v>45482</v>
      </c>
      <c r="D289" s="5">
        <f t="shared" si="4"/>
        <v>-58</v>
      </c>
      <c r="E289" t="s">
        <v>983</v>
      </c>
      <c r="F289" t="s">
        <v>79</v>
      </c>
      <c r="G289" t="s">
        <v>37</v>
      </c>
      <c r="H289" t="s">
        <v>54</v>
      </c>
      <c r="I289" t="s">
        <v>248</v>
      </c>
      <c r="J289" t="s">
        <v>249</v>
      </c>
      <c r="K289" t="s">
        <v>74</v>
      </c>
      <c r="L289" t="s">
        <v>80</v>
      </c>
      <c r="M289" t="s">
        <v>984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</row>
    <row r="290" spans="1:22" x14ac:dyDescent="0.3">
      <c r="A290" t="s">
        <v>985</v>
      </c>
      <c r="B290" s="4">
        <v>45467</v>
      </c>
      <c r="C290" s="4">
        <v>45467</v>
      </c>
      <c r="D290" s="5">
        <f t="shared" si="4"/>
        <v>0</v>
      </c>
      <c r="E290" t="s">
        <v>986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987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</row>
    <row r="291" spans="1:22" x14ac:dyDescent="0.3">
      <c r="A291" t="s">
        <v>988</v>
      </c>
      <c r="B291" s="4">
        <v>45827</v>
      </c>
      <c r="C291" s="4">
        <v>45835</v>
      </c>
      <c r="D291" s="5">
        <f t="shared" si="4"/>
        <v>8</v>
      </c>
      <c r="E291" t="s">
        <v>989</v>
      </c>
      <c r="F291" t="s">
        <v>23</v>
      </c>
      <c r="G291" t="s">
        <v>95</v>
      </c>
      <c r="H291" t="s">
        <v>54</v>
      </c>
      <c r="I291" t="s">
        <v>248</v>
      </c>
      <c r="J291" t="s">
        <v>249</v>
      </c>
      <c r="K291" t="s">
        <v>41</v>
      </c>
      <c r="L291" t="s">
        <v>158</v>
      </c>
      <c r="M291" t="s">
        <v>990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</row>
    <row r="292" spans="1:22" x14ac:dyDescent="0.3">
      <c r="A292" t="s">
        <v>991</v>
      </c>
      <c r="B292" s="3">
        <v>45891</v>
      </c>
      <c r="C292" s="4">
        <v>45895</v>
      </c>
      <c r="D292" s="5">
        <f t="shared" si="4"/>
        <v>4</v>
      </c>
      <c r="E292" t="s">
        <v>992</v>
      </c>
      <c r="F292" t="s">
        <v>162</v>
      </c>
      <c r="G292" t="s">
        <v>95</v>
      </c>
      <c r="H292" t="s">
        <v>38</v>
      </c>
      <c r="I292" t="s">
        <v>229</v>
      </c>
      <c r="J292" t="s">
        <v>230</v>
      </c>
      <c r="K292" t="s">
        <v>41</v>
      </c>
      <c r="L292" t="s">
        <v>42</v>
      </c>
      <c r="M292" t="s">
        <v>993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</row>
    <row r="293" spans="1:22" x14ac:dyDescent="0.3">
      <c r="A293" t="s">
        <v>994</v>
      </c>
      <c r="B293" s="4">
        <v>45387</v>
      </c>
      <c r="C293" s="4">
        <v>45569</v>
      </c>
      <c r="D293" s="5">
        <f t="shared" si="4"/>
        <v>182</v>
      </c>
      <c r="E293" t="s">
        <v>995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996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</row>
    <row r="294" spans="1:22" x14ac:dyDescent="0.3">
      <c r="A294" t="s">
        <v>997</v>
      </c>
      <c r="B294" s="3">
        <v>45716</v>
      </c>
      <c r="C294" s="4">
        <v>45719</v>
      </c>
      <c r="D294" s="5">
        <f t="shared" si="4"/>
        <v>3</v>
      </c>
      <c r="E294" t="s">
        <v>998</v>
      </c>
      <c r="F294" t="s">
        <v>265</v>
      </c>
      <c r="G294" t="s">
        <v>95</v>
      </c>
      <c r="H294" t="s">
        <v>25</v>
      </c>
      <c r="I294" t="s">
        <v>237</v>
      </c>
      <c r="J294" t="s">
        <v>238</v>
      </c>
      <c r="K294" t="s">
        <v>28</v>
      </c>
      <c r="L294" t="s">
        <v>48</v>
      </c>
      <c r="M294" t="s">
        <v>999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</row>
    <row r="295" spans="1:22" x14ac:dyDescent="0.3">
      <c r="A295" t="s">
        <v>1000</v>
      </c>
      <c r="B295" s="4">
        <v>45358</v>
      </c>
      <c r="C295" s="4">
        <v>45599</v>
      </c>
      <c r="D295" s="5">
        <f t="shared" si="4"/>
        <v>241</v>
      </c>
      <c r="E295" t="s">
        <v>1001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1002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</row>
    <row r="296" spans="1:22" x14ac:dyDescent="0.3">
      <c r="A296" t="s">
        <v>1003</v>
      </c>
      <c r="B296" s="3">
        <v>45854</v>
      </c>
      <c r="C296" s="4">
        <v>45860</v>
      </c>
      <c r="D296" s="5">
        <f t="shared" si="4"/>
        <v>6</v>
      </c>
      <c r="E296" t="s">
        <v>1004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1005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</row>
    <row r="297" spans="1:22" x14ac:dyDescent="0.3">
      <c r="A297" t="s">
        <v>1006</v>
      </c>
      <c r="B297" s="3">
        <v>45833</v>
      </c>
      <c r="C297" s="3">
        <v>45836</v>
      </c>
      <c r="D297" s="5">
        <f t="shared" si="4"/>
        <v>3</v>
      </c>
      <c r="E297" t="s">
        <v>1007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1008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</row>
    <row r="298" spans="1:22" x14ac:dyDescent="0.3">
      <c r="A298" t="s">
        <v>1009</v>
      </c>
      <c r="B298" s="3">
        <v>45801</v>
      </c>
      <c r="C298" s="4">
        <v>45803</v>
      </c>
      <c r="D298" s="5">
        <f t="shared" si="4"/>
        <v>2</v>
      </c>
      <c r="E298" t="s">
        <v>1010</v>
      </c>
      <c r="F298" t="s">
        <v>89</v>
      </c>
      <c r="G298" t="s">
        <v>95</v>
      </c>
      <c r="H298" t="s">
        <v>25</v>
      </c>
      <c r="I298" t="s">
        <v>237</v>
      </c>
      <c r="J298" t="s">
        <v>238</v>
      </c>
      <c r="K298" t="s">
        <v>41</v>
      </c>
      <c r="L298" t="s">
        <v>57</v>
      </c>
      <c r="M298" t="s">
        <v>1011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</row>
    <row r="299" spans="1:22" x14ac:dyDescent="0.3">
      <c r="A299" t="s">
        <v>1012</v>
      </c>
      <c r="B299" s="4">
        <v>45594</v>
      </c>
      <c r="C299" s="4">
        <v>45454</v>
      </c>
      <c r="D299" s="5">
        <f t="shared" si="4"/>
        <v>-140</v>
      </c>
      <c r="E299" t="s">
        <v>1013</v>
      </c>
      <c r="F299" t="s">
        <v>132</v>
      </c>
      <c r="G299" t="s">
        <v>90</v>
      </c>
      <c r="H299" t="s">
        <v>54</v>
      </c>
      <c r="I299" t="s">
        <v>248</v>
      </c>
      <c r="J299" t="s">
        <v>249</v>
      </c>
      <c r="K299" t="s">
        <v>74</v>
      </c>
      <c r="L299" t="s">
        <v>80</v>
      </c>
      <c r="M299" t="s">
        <v>1014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</row>
    <row r="300" spans="1:22" x14ac:dyDescent="0.3">
      <c r="A300" t="s">
        <v>1015</v>
      </c>
      <c r="B300" s="4">
        <v>45680</v>
      </c>
      <c r="C300" s="4">
        <v>45683</v>
      </c>
      <c r="D300" s="5">
        <f t="shared" si="4"/>
        <v>3</v>
      </c>
      <c r="E300" t="s">
        <v>1016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1017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</row>
    <row r="301" spans="1:22" x14ac:dyDescent="0.3">
      <c r="A301" t="s">
        <v>1018</v>
      </c>
      <c r="B301" s="4">
        <v>45454</v>
      </c>
      <c r="C301" s="4">
        <v>45637</v>
      </c>
      <c r="D301" s="5">
        <f t="shared" si="4"/>
        <v>183</v>
      </c>
      <c r="E301" t="s">
        <v>1019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1020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</row>
    <row r="302" spans="1:22" x14ac:dyDescent="0.3">
      <c r="A302" t="s">
        <v>1021</v>
      </c>
      <c r="B302" s="4">
        <v>45397</v>
      </c>
      <c r="C302" s="4">
        <v>45405</v>
      </c>
      <c r="D302" s="5">
        <f t="shared" si="4"/>
        <v>8</v>
      </c>
      <c r="E302" t="s">
        <v>1022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1023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</row>
    <row r="303" spans="1:22" x14ac:dyDescent="0.3">
      <c r="A303" t="s">
        <v>1024</v>
      </c>
      <c r="B303" s="3">
        <v>45805</v>
      </c>
      <c r="C303" s="4">
        <v>45663</v>
      </c>
      <c r="D303" s="5">
        <f t="shared" si="4"/>
        <v>-142</v>
      </c>
      <c r="E303" t="s">
        <v>1025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1026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</row>
    <row r="304" spans="1:22" x14ac:dyDescent="0.3">
      <c r="A304" t="s">
        <v>1027</v>
      </c>
      <c r="B304" s="4">
        <v>45753</v>
      </c>
      <c r="C304" s="4">
        <v>45997</v>
      </c>
      <c r="D304" s="5">
        <f t="shared" si="4"/>
        <v>244</v>
      </c>
      <c r="E304" t="s">
        <v>1028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616</v>
      </c>
      <c r="L304" t="s">
        <v>124</v>
      </c>
      <c r="M304" t="s">
        <v>1029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</row>
    <row r="305" spans="1:22" x14ac:dyDescent="0.3">
      <c r="A305" t="s">
        <v>1030</v>
      </c>
      <c r="B305" s="3">
        <v>45466</v>
      </c>
      <c r="C305" s="4">
        <v>45471</v>
      </c>
      <c r="D305" s="5">
        <f t="shared" si="4"/>
        <v>5</v>
      </c>
      <c r="E305" t="s">
        <v>1031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1032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</row>
    <row r="306" spans="1:22" x14ac:dyDescent="0.3">
      <c r="A306" t="s">
        <v>1033</v>
      </c>
      <c r="B306" s="4">
        <v>45357</v>
      </c>
      <c r="C306" s="4">
        <v>45364</v>
      </c>
      <c r="D306" s="5">
        <f t="shared" si="4"/>
        <v>7</v>
      </c>
      <c r="E306" t="s">
        <v>1034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1035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</row>
    <row r="307" spans="1:22" x14ac:dyDescent="0.3">
      <c r="A307" t="s">
        <v>1036</v>
      </c>
      <c r="B307" s="3">
        <v>45296</v>
      </c>
      <c r="C307" s="4">
        <v>45414</v>
      </c>
      <c r="D307" s="5">
        <f t="shared" si="4"/>
        <v>118</v>
      </c>
      <c r="E307" t="s">
        <v>1037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1038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</row>
    <row r="308" spans="1:22" x14ac:dyDescent="0.3">
      <c r="A308" t="s">
        <v>1039</v>
      </c>
      <c r="B308" s="3">
        <v>45708</v>
      </c>
      <c r="C308" s="4">
        <v>45711</v>
      </c>
      <c r="D308" s="5">
        <f t="shared" si="4"/>
        <v>3</v>
      </c>
      <c r="E308" t="s">
        <v>1040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1041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</row>
    <row r="309" spans="1:22" x14ac:dyDescent="0.3">
      <c r="A309" t="s">
        <v>1042</v>
      </c>
      <c r="B309" s="4">
        <v>45998</v>
      </c>
      <c r="C309" s="3">
        <v>45857</v>
      </c>
      <c r="D309" s="5">
        <f t="shared" si="4"/>
        <v>-141</v>
      </c>
      <c r="E309" t="s">
        <v>1043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1044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1045</v>
      </c>
      <c r="V309" t="s">
        <v>68</v>
      </c>
    </row>
    <row r="310" spans="1:22" x14ac:dyDescent="0.3">
      <c r="A310" t="s">
        <v>1046</v>
      </c>
      <c r="B310" s="4">
        <v>45821</v>
      </c>
      <c r="C310" s="4">
        <v>45827</v>
      </c>
      <c r="D310" s="5">
        <f t="shared" si="4"/>
        <v>6</v>
      </c>
      <c r="E310" t="s">
        <v>1047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1048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</row>
    <row r="311" spans="1:22" x14ac:dyDescent="0.3">
      <c r="A311" t="s">
        <v>1049</v>
      </c>
      <c r="B311" s="4">
        <v>45493</v>
      </c>
      <c r="C311" s="4">
        <v>45495</v>
      </c>
      <c r="D311" s="5">
        <f t="shared" si="4"/>
        <v>2</v>
      </c>
      <c r="E311" t="s">
        <v>1050</v>
      </c>
      <c r="F311" t="s">
        <v>62</v>
      </c>
      <c r="G311" t="s">
        <v>24</v>
      </c>
      <c r="H311" t="s">
        <v>54</v>
      </c>
      <c r="I311" t="s">
        <v>248</v>
      </c>
      <c r="J311" t="s">
        <v>249</v>
      </c>
      <c r="K311" t="s">
        <v>41</v>
      </c>
      <c r="L311" t="s">
        <v>42</v>
      </c>
      <c r="M311" t="s">
        <v>1051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</row>
    <row r="312" spans="1:22" x14ac:dyDescent="0.3">
      <c r="A312" t="s">
        <v>1052</v>
      </c>
      <c r="B312" s="4">
        <v>45389</v>
      </c>
      <c r="C312" s="4">
        <v>45511</v>
      </c>
      <c r="D312" s="5">
        <f t="shared" si="4"/>
        <v>122</v>
      </c>
      <c r="E312" t="s">
        <v>1053</v>
      </c>
      <c r="F312" t="s">
        <v>141</v>
      </c>
      <c r="G312" t="s">
        <v>37</v>
      </c>
      <c r="H312" t="s">
        <v>54</v>
      </c>
      <c r="I312" t="s">
        <v>248</v>
      </c>
      <c r="J312" t="s">
        <v>249</v>
      </c>
      <c r="K312" t="s">
        <v>74</v>
      </c>
      <c r="L312" t="s">
        <v>275</v>
      </c>
      <c r="M312" t="s">
        <v>1054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</row>
    <row r="313" spans="1:22" x14ac:dyDescent="0.3">
      <c r="A313" t="s">
        <v>1055</v>
      </c>
      <c r="B313" s="4">
        <v>45409</v>
      </c>
      <c r="C313" s="4">
        <v>45327</v>
      </c>
      <c r="D313" s="5">
        <f t="shared" si="4"/>
        <v>-82</v>
      </c>
      <c r="E313" t="s">
        <v>1056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1057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</row>
    <row r="314" spans="1:22" x14ac:dyDescent="0.3">
      <c r="A314" t="s">
        <v>1058</v>
      </c>
      <c r="B314" s="4">
        <v>45504</v>
      </c>
      <c r="C314" s="4">
        <v>45390</v>
      </c>
      <c r="D314" s="5">
        <f t="shared" si="4"/>
        <v>-114</v>
      </c>
      <c r="E314" t="s">
        <v>1059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1060</v>
      </c>
      <c r="N314" t="s">
        <v>59</v>
      </c>
      <c r="O314">
        <v>8</v>
      </c>
      <c r="P314">
        <v>2614.7399999999998</v>
      </c>
      <c r="R314">
        <v>15688.44</v>
      </c>
      <c r="S314">
        <v>10047.33</v>
      </c>
      <c r="T314">
        <v>5641.11</v>
      </c>
      <c r="U314" t="s">
        <v>32</v>
      </c>
      <c r="V314" t="s">
        <v>68</v>
      </c>
    </row>
    <row r="315" spans="1:22" x14ac:dyDescent="0.3">
      <c r="A315" t="s">
        <v>1061</v>
      </c>
      <c r="B315" s="4">
        <v>45807</v>
      </c>
      <c r="C315" s="4">
        <v>45808</v>
      </c>
      <c r="D315" s="5">
        <f t="shared" si="4"/>
        <v>1</v>
      </c>
      <c r="E315" t="s">
        <v>1062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1063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</row>
    <row r="316" spans="1:22" x14ac:dyDescent="0.3">
      <c r="A316" t="s">
        <v>1064</v>
      </c>
      <c r="B316" s="4">
        <v>45795</v>
      </c>
      <c r="C316" s="3">
        <v>45797</v>
      </c>
      <c r="D316" s="5">
        <f t="shared" si="4"/>
        <v>2</v>
      </c>
      <c r="E316" t="s">
        <v>1065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1066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</row>
    <row r="317" spans="1:22" x14ac:dyDescent="0.3">
      <c r="A317" t="s">
        <v>1067</v>
      </c>
      <c r="B317" s="4">
        <v>45329</v>
      </c>
      <c r="C317" s="4">
        <v>45511</v>
      </c>
      <c r="D317" s="5">
        <f t="shared" si="4"/>
        <v>182</v>
      </c>
      <c r="E317" t="s">
        <v>1068</v>
      </c>
      <c r="F317" t="s">
        <v>141</v>
      </c>
      <c r="G317" t="s">
        <v>24</v>
      </c>
      <c r="H317" t="s">
        <v>25</v>
      </c>
      <c r="I317" t="s">
        <v>351</v>
      </c>
      <c r="J317" t="s">
        <v>352</v>
      </c>
      <c r="K317" t="s">
        <v>28</v>
      </c>
      <c r="L317" t="s">
        <v>29</v>
      </c>
      <c r="M317" t="s">
        <v>1069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</row>
    <row r="318" spans="1:22" x14ac:dyDescent="0.3">
      <c r="A318" t="s">
        <v>1070</v>
      </c>
      <c r="B318" s="4">
        <v>45338</v>
      </c>
      <c r="C318" s="4">
        <v>45340</v>
      </c>
      <c r="D318" s="5">
        <f t="shared" si="4"/>
        <v>2</v>
      </c>
      <c r="E318" t="s">
        <v>1071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1072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</row>
    <row r="319" spans="1:22" x14ac:dyDescent="0.3">
      <c r="A319" t="s">
        <v>1073</v>
      </c>
      <c r="B319" s="4">
        <v>45898</v>
      </c>
      <c r="C319" s="3">
        <v>45756</v>
      </c>
      <c r="D319" s="5">
        <f t="shared" si="4"/>
        <v>-142</v>
      </c>
      <c r="E319" t="s">
        <v>1074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1075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</row>
    <row r="320" spans="1:22" x14ac:dyDescent="0.3">
      <c r="A320" t="s">
        <v>1076</v>
      </c>
      <c r="B320" s="3">
        <v>45407</v>
      </c>
      <c r="C320" s="4">
        <v>45412</v>
      </c>
      <c r="D320" s="5">
        <f t="shared" si="4"/>
        <v>5</v>
      </c>
      <c r="E320" t="s">
        <v>1077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1078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</row>
    <row r="321" spans="1:22" x14ac:dyDescent="0.3">
      <c r="A321" t="s">
        <v>1079</v>
      </c>
      <c r="B321" s="3">
        <v>45525</v>
      </c>
      <c r="C321" s="4">
        <v>45529</v>
      </c>
      <c r="D321" s="5">
        <f t="shared" si="4"/>
        <v>4</v>
      </c>
      <c r="E321" t="s">
        <v>1080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1081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</row>
    <row r="322" spans="1:22" x14ac:dyDescent="0.3">
      <c r="A322" t="s">
        <v>1082</v>
      </c>
      <c r="B322" s="4">
        <v>45630</v>
      </c>
      <c r="C322" s="4">
        <v>45632</v>
      </c>
      <c r="D322" s="5">
        <f t="shared" si="4"/>
        <v>2</v>
      </c>
      <c r="E322" t="s">
        <v>1083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1084</v>
      </c>
      <c r="N322" t="s">
        <v>31</v>
      </c>
      <c r="O322">
        <v>3</v>
      </c>
      <c r="P322">
        <v>876.14</v>
      </c>
      <c r="Q322" t="s">
        <v>464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</row>
    <row r="323" spans="1:22" x14ac:dyDescent="0.3">
      <c r="A323" t="s">
        <v>1085</v>
      </c>
      <c r="B323" s="4">
        <v>45466</v>
      </c>
      <c r="C323" s="3">
        <v>45473</v>
      </c>
      <c r="D323" s="5">
        <f t="shared" ref="D323:D386" si="5">C323-B323</f>
        <v>7</v>
      </c>
      <c r="E323" t="s">
        <v>1086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1087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</row>
    <row r="324" spans="1:22" x14ac:dyDescent="0.3">
      <c r="A324" t="s">
        <v>1088</v>
      </c>
      <c r="B324" s="4">
        <v>45637</v>
      </c>
      <c r="C324" s="4">
        <v>45637</v>
      </c>
      <c r="D324" s="5">
        <f t="shared" si="5"/>
        <v>0</v>
      </c>
      <c r="E324" t="s">
        <v>1089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1090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</row>
    <row r="325" spans="1:22" x14ac:dyDescent="0.3">
      <c r="A325" t="s">
        <v>1091</v>
      </c>
      <c r="B325" s="4">
        <v>45347</v>
      </c>
      <c r="C325" s="3">
        <v>45351</v>
      </c>
      <c r="D325" s="5">
        <f t="shared" si="5"/>
        <v>4</v>
      </c>
      <c r="E325" t="s">
        <v>1092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</row>
    <row r="326" spans="1:22" x14ac:dyDescent="0.3">
      <c r="A326" t="s">
        <v>1093</v>
      </c>
      <c r="B326" s="3">
        <v>45869</v>
      </c>
      <c r="C326" s="4">
        <v>45696</v>
      </c>
      <c r="D326" s="5">
        <f t="shared" si="5"/>
        <v>-173</v>
      </c>
      <c r="E326" t="s">
        <v>1094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1095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</row>
    <row r="327" spans="1:22" x14ac:dyDescent="0.3">
      <c r="A327" t="s">
        <v>1096</v>
      </c>
      <c r="B327" s="4">
        <v>45916</v>
      </c>
      <c r="C327" s="4">
        <v>45922</v>
      </c>
      <c r="D327" s="5">
        <f t="shared" si="5"/>
        <v>6</v>
      </c>
      <c r="E327" t="s">
        <v>1097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1098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</row>
    <row r="328" spans="1:22" x14ac:dyDescent="0.3">
      <c r="A328" t="s">
        <v>1099</v>
      </c>
      <c r="B328" s="4">
        <v>45860</v>
      </c>
      <c r="C328" s="4">
        <v>45860</v>
      </c>
      <c r="D328" s="5">
        <f t="shared" si="5"/>
        <v>0</v>
      </c>
      <c r="E328" t="s">
        <v>1100</v>
      </c>
      <c r="F328" t="s">
        <v>132</v>
      </c>
      <c r="G328" t="s">
        <v>90</v>
      </c>
      <c r="H328" t="s">
        <v>38</v>
      </c>
      <c r="I328" t="s">
        <v>229</v>
      </c>
      <c r="J328" t="s">
        <v>230</v>
      </c>
      <c r="K328" t="s">
        <v>41</v>
      </c>
      <c r="L328" t="s">
        <v>57</v>
      </c>
      <c r="M328" t="s">
        <v>1101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</row>
    <row r="329" spans="1:22" x14ac:dyDescent="0.3">
      <c r="A329" t="s">
        <v>1102</v>
      </c>
      <c r="B329" s="4">
        <v>45497</v>
      </c>
      <c r="C329" s="4">
        <v>45500</v>
      </c>
      <c r="D329" s="5">
        <f t="shared" si="5"/>
        <v>3</v>
      </c>
      <c r="E329" t="s">
        <v>1103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1104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</row>
    <row r="330" spans="1:22" x14ac:dyDescent="0.3">
      <c r="A330" t="s">
        <v>1105</v>
      </c>
      <c r="B330" s="4">
        <v>45806</v>
      </c>
      <c r="C330" s="3">
        <v>45753</v>
      </c>
      <c r="D330" s="5">
        <f t="shared" si="5"/>
        <v>-53</v>
      </c>
      <c r="E330" t="s">
        <v>1106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1107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</row>
    <row r="331" spans="1:22" x14ac:dyDescent="0.3">
      <c r="A331" t="s">
        <v>1108</v>
      </c>
      <c r="B331" s="3">
        <v>45996</v>
      </c>
      <c r="C331" s="4">
        <v>45795</v>
      </c>
      <c r="D331" s="5">
        <f t="shared" si="5"/>
        <v>-201</v>
      </c>
      <c r="E331" t="s">
        <v>1109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1110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</row>
    <row r="332" spans="1:22" x14ac:dyDescent="0.3">
      <c r="A332" t="s">
        <v>1111</v>
      </c>
      <c r="B332" s="4">
        <v>45428</v>
      </c>
      <c r="C332" s="4">
        <v>45436</v>
      </c>
      <c r="D332" s="5">
        <f t="shared" si="5"/>
        <v>8</v>
      </c>
      <c r="E332" t="s">
        <v>1112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1113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</row>
    <row r="333" spans="1:22" x14ac:dyDescent="0.3">
      <c r="A333" t="s">
        <v>1114</v>
      </c>
      <c r="B333" s="4">
        <v>45394</v>
      </c>
      <c r="C333" s="4">
        <v>45455</v>
      </c>
      <c r="D333" s="5">
        <f t="shared" si="5"/>
        <v>61</v>
      </c>
      <c r="E333" t="s">
        <v>1115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1116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</row>
    <row r="334" spans="1:22" x14ac:dyDescent="0.3">
      <c r="A334" t="s">
        <v>1117</v>
      </c>
      <c r="B334" s="3">
        <v>45804</v>
      </c>
      <c r="C334" s="4">
        <v>45805</v>
      </c>
      <c r="D334" s="5">
        <f t="shared" si="5"/>
        <v>1</v>
      </c>
      <c r="E334" t="s">
        <v>1118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1119</v>
      </c>
      <c r="M334" t="s">
        <v>1120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</row>
    <row r="335" spans="1:22" x14ac:dyDescent="0.3">
      <c r="A335" t="s">
        <v>1121</v>
      </c>
      <c r="B335" s="3">
        <v>45830</v>
      </c>
      <c r="C335" s="4">
        <v>45835</v>
      </c>
      <c r="D335" s="5">
        <f t="shared" si="5"/>
        <v>5</v>
      </c>
      <c r="E335" t="s">
        <v>1122</v>
      </c>
      <c r="F335" t="s">
        <v>141</v>
      </c>
      <c r="G335" t="s">
        <v>95</v>
      </c>
      <c r="I335" t="s">
        <v>351</v>
      </c>
      <c r="J335" t="s">
        <v>352</v>
      </c>
      <c r="K335" t="s">
        <v>74</v>
      </c>
      <c r="L335" t="s">
        <v>171</v>
      </c>
      <c r="M335" t="s">
        <v>1123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</row>
    <row r="336" spans="1:22" x14ac:dyDescent="0.3">
      <c r="A336" t="s">
        <v>1124</v>
      </c>
      <c r="B336" s="3">
        <v>45635</v>
      </c>
      <c r="C336" s="4">
        <v>45552</v>
      </c>
      <c r="D336" s="5">
        <f t="shared" si="5"/>
        <v>-83</v>
      </c>
      <c r="E336" t="s">
        <v>1125</v>
      </c>
      <c r="F336" t="s">
        <v>62</v>
      </c>
      <c r="G336" t="s">
        <v>24</v>
      </c>
      <c r="H336" t="s">
        <v>38</v>
      </c>
      <c r="I336" t="s">
        <v>229</v>
      </c>
      <c r="J336" t="s">
        <v>230</v>
      </c>
      <c r="K336" t="s">
        <v>28</v>
      </c>
      <c r="L336" t="s">
        <v>124</v>
      </c>
      <c r="M336" t="s">
        <v>1126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</row>
    <row r="337" spans="1:22" x14ac:dyDescent="0.3">
      <c r="A337" t="s">
        <v>1127</v>
      </c>
      <c r="B337" s="4">
        <v>45824</v>
      </c>
      <c r="C337" s="3">
        <v>45826</v>
      </c>
      <c r="D337" s="5">
        <f t="shared" si="5"/>
        <v>2</v>
      </c>
      <c r="E337" t="s">
        <v>1128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1129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</row>
    <row r="338" spans="1:22" x14ac:dyDescent="0.3">
      <c r="A338" t="s">
        <v>1130</v>
      </c>
      <c r="B338" s="4">
        <v>45368</v>
      </c>
      <c r="C338" s="4">
        <v>45372</v>
      </c>
      <c r="D338" s="5">
        <f t="shared" si="5"/>
        <v>4</v>
      </c>
      <c r="E338" t="s">
        <v>880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1131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</row>
    <row r="339" spans="1:22" x14ac:dyDescent="0.3">
      <c r="A339" t="s">
        <v>1132</v>
      </c>
      <c r="B339" s="3">
        <v>45634</v>
      </c>
      <c r="C339" s="3">
        <v>45522</v>
      </c>
      <c r="D339" s="5">
        <f t="shared" si="5"/>
        <v>-112</v>
      </c>
      <c r="E339" t="s">
        <v>1133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1134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</row>
    <row r="340" spans="1:22" x14ac:dyDescent="0.3">
      <c r="A340" t="s">
        <v>1135</v>
      </c>
      <c r="B340" s="4">
        <v>45516</v>
      </c>
      <c r="C340" s="4">
        <v>45634</v>
      </c>
      <c r="D340" s="5">
        <f t="shared" si="5"/>
        <v>118</v>
      </c>
      <c r="E340" t="s">
        <v>1136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1137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</row>
    <row r="341" spans="1:22" x14ac:dyDescent="0.3">
      <c r="A341" t="s">
        <v>1138</v>
      </c>
      <c r="B341" s="4">
        <v>45708</v>
      </c>
      <c r="C341" s="4">
        <v>45710</v>
      </c>
      <c r="D341" s="5">
        <f t="shared" si="5"/>
        <v>2</v>
      </c>
      <c r="E341" t="s">
        <v>1139</v>
      </c>
      <c r="F341" t="s">
        <v>79</v>
      </c>
      <c r="G341" t="s">
        <v>90</v>
      </c>
      <c r="H341" t="s">
        <v>38</v>
      </c>
      <c r="I341" t="s">
        <v>229</v>
      </c>
      <c r="J341" t="s">
        <v>230</v>
      </c>
      <c r="K341" t="s">
        <v>41</v>
      </c>
      <c r="L341" t="s">
        <v>158</v>
      </c>
      <c r="M341" t="s">
        <v>1140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</row>
    <row r="342" spans="1:22" x14ac:dyDescent="0.3">
      <c r="A342" t="s">
        <v>1141</v>
      </c>
      <c r="B342" s="3">
        <v>45312</v>
      </c>
      <c r="C342" s="4">
        <v>45320</v>
      </c>
      <c r="D342" s="5">
        <f t="shared" si="5"/>
        <v>8</v>
      </c>
      <c r="E342" t="s">
        <v>1142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1143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</row>
    <row r="343" spans="1:22" x14ac:dyDescent="0.3">
      <c r="A343" t="s">
        <v>1144</v>
      </c>
      <c r="B343" s="3">
        <v>45878</v>
      </c>
      <c r="C343" s="4">
        <v>45909</v>
      </c>
      <c r="D343" s="5">
        <f t="shared" si="5"/>
        <v>31</v>
      </c>
      <c r="E343" t="s">
        <v>1145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1146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</row>
    <row r="344" spans="1:22" x14ac:dyDescent="0.3">
      <c r="A344" t="s">
        <v>1147</v>
      </c>
      <c r="B344" s="4">
        <v>45862</v>
      </c>
      <c r="C344" s="4">
        <v>45665</v>
      </c>
      <c r="D344" s="5">
        <f t="shared" si="5"/>
        <v>-197</v>
      </c>
      <c r="E344" t="s">
        <v>1148</v>
      </c>
      <c r="F344" t="s">
        <v>265</v>
      </c>
      <c r="G344" t="s">
        <v>37</v>
      </c>
      <c r="H344" t="s">
        <v>38</v>
      </c>
      <c r="I344" t="s">
        <v>229</v>
      </c>
      <c r="J344" t="s">
        <v>230</v>
      </c>
      <c r="K344" t="s">
        <v>28</v>
      </c>
      <c r="L344" t="s">
        <v>153</v>
      </c>
      <c r="M344" t="s">
        <v>1149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</row>
    <row r="345" spans="1:22" x14ac:dyDescent="0.3">
      <c r="A345" t="s">
        <v>1150</v>
      </c>
      <c r="B345" s="4">
        <v>45933</v>
      </c>
      <c r="C345" s="3">
        <v>45879</v>
      </c>
      <c r="D345" s="5">
        <f t="shared" si="5"/>
        <v>-54</v>
      </c>
      <c r="E345" t="s">
        <v>1151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275</v>
      </c>
      <c r="M345" t="s">
        <v>1152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</row>
    <row r="346" spans="1:22" x14ac:dyDescent="0.3">
      <c r="A346" t="s">
        <v>1153</v>
      </c>
      <c r="B346" s="4">
        <v>45599</v>
      </c>
      <c r="C346" s="4">
        <v>45599</v>
      </c>
      <c r="D346" s="5">
        <f t="shared" si="5"/>
        <v>0</v>
      </c>
      <c r="E346" t="s">
        <v>1154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1155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</row>
    <row r="347" spans="1:22" x14ac:dyDescent="0.3">
      <c r="A347" t="s">
        <v>1156</v>
      </c>
      <c r="B347" s="4">
        <v>45549</v>
      </c>
      <c r="C347" s="4">
        <v>45557</v>
      </c>
      <c r="D347" s="5">
        <f t="shared" si="5"/>
        <v>8</v>
      </c>
      <c r="E347" t="s">
        <v>1157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1158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</row>
    <row r="348" spans="1:22" x14ac:dyDescent="0.3">
      <c r="A348" t="s">
        <v>1159</v>
      </c>
      <c r="B348" s="4">
        <v>45860</v>
      </c>
      <c r="C348" s="4">
        <v>45866</v>
      </c>
      <c r="D348" s="5">
        <f t="shared" si="5"/>
        <v>6</v>
      </c>
      <c r="E348" t="s">
        <v>1160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1161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</row>
    <row r="349" spans="1:22" x14ac:dyDescent="0.3">
      <c r="A349" t="s">
        <v>1162</v>
      </c>
      <c r="B349" s="4">
        <v>45303</v>
      </c>
      <c r="C349" s="4">
        <v>45634</v>
      </c>
      <c r="D349" s="5">
        <f t="shared" si="5"/>
        <v>331</v>
      </c>
      <c r="E349" t="s">
        <v>1163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1164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</row>
    <row r="350" spans="1:22" x14ac:dyDescent="0.3">
      <c r="A350" t="s">
        <v>1165</v>
      </c>
      <c r="B350" s="4">
        <v>45445</v>
      </c>
      <c r="C350" s="4">
        <v>45450</v>
      </c>
      <c r="D350" s="5">
        <f t="shared" si="5"/>
        <v>5</v>
      </c>
      <c r="E350" t="s">
        <v>1166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1167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</row>
    <row r="351" spans="1:22" x14ac:dyDescent="0.3">
      <c r="A351" t="s">
        <v>1168</v>
      </c>
      <c r="B351" s="4">
        <v>45927</v>
      </c>
      <c r="C351" s="4">
        <v>45929</v>
      </c>
      <c r="D351" s="5">
        <f t="shared" si="5"/>
        <v>2</v>
      </c>
      <c r="E351" t="s">
        <v>1169</v>
      </c>
      <c r="F351" t="s">
        <v>265</v>
      </c>
      <c r="G351" t="s">
        <v>95</v>
      </c>
      <c r="H351" t="s">
        <v>38</v>
      </c>
      <c r="I351" t="s">
        <v>229</v>
      </c>
      <c r="J351" t="s">
        <v>230</v>
      </c>
      <c r="K351" t="s">
        <v>41</v>
      </c>
      <c r="L351" t="s">
        <v>57</v>
      </c>
      <c r="M351" t="s">
        <v>1170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</row>
    <row r="352" spans="1:22" x14ac:dyDescent="0.3">
      <c r="A352" t="s">
        <v>1171</v>
      </c>
      <c r="B352" s="4">
        <v>45474</v>
      </c>
      <c r="C352" s="3">
        <v>45305</v>
      </c>
      <c r="D352" s="5">
        <f t="shared" si="5"/>
        <v>-169</v>
      </c>
      <c r="E352" t="s">
        <v>1172</v>
      </c>
      <c r="F352" t="s">
        <v>132</v>
      </c>
      <c r="G352" t="s">
        <v>37</v>
      </c>
      <c r="H352" t="s">
        <v>38</v>
      </c>
      <c r="I352" t="s">
        <v>229</v>
      </c>
      <c r="J352" t="s">
        <v>230</v>
      </c>
      <c r="K352" t="s">
        <v>41</v>
      </c>
      <c r="L352" t="s">
        <v>57</v>
      </c>
      <c r="M352" t="s">
        <v>1173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</row>
    <row r="353" spans="1:22" x14ac:dyDescent="0.3">
      <c r="A353" t="s">
        <v>1174</v>
      </c>
      <c r="B353" s="4">
        <v>45800</v>
      </c>
      <c r="C353" s="3">
        <v>45804</v>
      </c>
      <c r="D353" s="5">
        <f t="shared" si="5"/>
        <v>4</v>
      </c>
      <c r="E353" t="s">
        <v>1175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1176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</row>
    <row r="354" spans="1:22" x14ac:dyDescent="0.3">
      <c r="A354" t="s">
        <v>1177</v>
      </c>
      <c r="B354" s="3">
        <v>45884</v>
      </c>
      <c r="C354" s="4">
        <v>45886</v>
      </c>
      <c r="D354" s="5">
        <f t="shared" si="5"/>
        <v>2</v>
      </c>
      <c r="E354" t="s">
        <v>1178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1179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</row>
    <row r="355" spans="1:22" x14ac:dyDescent="0.3">
      <c r="A355" t="s">
        <v>1180</v>
      </c>
      <c r="B355" s="4">
        <v>45709</v>
      </c>
      <c r="C355" s="4">
        <v>45715</v>
      </c>
      <c r="D355" s="5">
        <f t="shared" si="5"/>
        <v>6</v>
      </c>
      <c r="E355" t="s">
        <v>1181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1182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</row>
    <row r="356" spans="1:22" x14ac:dyDescent="0.3">
      <c r="A356" t="s">
        <v>1183</v>
      </c>
      <c r="B356" s="3">
        <v>45653</v>
      </c>
      <c r="C356" s="4">
        <v>45657</v>
      </c>
      <c r="D356" s="5">
        <f t="shared" si="5"/>
        <v>4</v>
      </c>
      <c r="E356" t="s">
        <v>1184</v>
      </c>
      <c r="F356" t="s">
        <v>265</v>
      </c>
      <c r="G356" t="s">
        <v>1185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1186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</row>
    <row r="357" spans="1:22" x14ac:dyDescent="0.3">
      <c r="A357" t="s">
        <v>1187</v>
      </c>
      <c r="B357" s="4">
        <v>45631</v>
      </c>
      <c r="C357" s="4">
        <v>45540</v>
      </c>
      <c r="D357" s="5">
        <f t="shared" si="5"/>
        <v>-91</v>
      </c>
      <c r="E357" t="s">
        <v>1188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1189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</row>
    <row r="358" spans="1:22" x14ac:dyDescent="0.3">
      <c r="A358" t="s">
        <v>1190</v>
      </c>
      <c r="B358" s="3">
        <v>45835</v>
      </c>
      <c r="C358" s="3">
        <v>45837</v>
      </c>
      <c r="D358" s="5">
        <f t="shared" si="5"/>
        <v>2</v>
      </c>
      <c r="E358" t="s">
        <v>1191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1192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</row>
    <row r="359" spans="1:22" x14ac:dyDescent="0.3">
      <c r="A359" t="s">
        <v>1193</v>
      </c>
      <c r="B359" s="4">
        <v>45678</v>
      </c>
      <c r="C359" s="4">
        <v>45686</v>
      </c>
      <c r="D359" s="5">
        <f t="shared" si="5"/>
        <v>8</v>
      </c>
      <c r="E359" t="s">
        <v>1194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275</v>
      </c>
      <c r="M359" t="s">
        <v>1195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</row>
    <row r="360" spans="1:22" x14ac:dyDescent="0.3">
      <c r="A360" t="s">
        <v>1196</v>
      </c>
      <c r="B360" s="4">
        <v>45878</v>
      </c>
      <c r="C360" s="4">
        <v>45846</v>
      </c>
      <c r="D360" s="5">
        <f t="shared" si="5"/>
        <v>-32</v>
      </c>
      <c r="E360" t="s">
        <v>1197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1198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</row>
    <row r="361" spans="1:22" x14ac:dyDescent="0.3">
      <c r="A361" t="s">
        <v>1199</v>
      </c>
      <c r="B361" s="3">
        <v>45525</v>
      </c>
      <c r="C361" s="4">
        <v>45526</v>
      </c>
      <c r="D361" s="5">
        <f t="shared" si="5"/>
        <v>1</v>
      </c>
      <c r="E361" t="s">
        <v>1200</v>
      </c>
      <c r="F361" t="s">
        <v>47</v>
      </c>
      <c r="G361" t="s">
        <v>24</v>
      </c>
      <c r="H361" t="s">
        <v>54</v>
      </c>
      <c r="I361" t="s">
        <v>248</v>
      </c>
      <c r="J361" t="s">
        <v>249</v>
      </c>
      <c r="K361" t="s">
        <v>74</v>
      </c>
      <c r="L361" t="s">
        <v>171</v>
      </c>
      <c r="M361" t="s">
        <v>1201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</row>
    <row r="362" spans="1:22" x14ac:dyDescent="0.3">
      <c r="A362" t="s">
        <v>1202</v>
      </c>
      <c r="B362" s="3">
        <v>45460</v>
      </c>
      <c r="C362" s="4">
        <v>45463</v>
      </c>
      <c r="D362" s="5">
        <f t="shared" si="5"/>
        <v>3</v>
      </c>
      <c r="E362" t="s">
        <v>1203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1204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</row>
    <row r="363" spans="1:22" x14ac:dyDescent="0.3">
      <c r="A363" t="s">
        <v>1205</v>
      </c>
      <c r="B363" s="4">
        <v>45661</v>
      </c>
      <c r="C363" s="4">
        <v>45692</v>
      </c>
      <c r="D363" s="5">
        <f t="shared" si="5"/>
        <v>31</v>
      </c>
      <c r="E363" t="s">
        <v>1206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1207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</row>
    <row r="364" spans="1:22" x14ac:dyDescent="0.3">
      <c r="A364" t="s">
        <v>1208</v>
      </c>
      <c r="B364" s="3">
        <v>45527</v>
      </c>
      <c r="C364" s="4">
        <v>45529</v>
      </c>
      <c r="D364" s="5">
        <f t="shared" si="5"/>
        <v>2</v>
      </c>
      <c r="E364" t="s">
        <v>1209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275</v>
      </c>
      <c r="M364" t="s">
        <v>1210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</row>
    <row r="365" spans="1:22" x14ac:dyDescent="0.3">
      <c r="A365" t="s">
        <v>1211</v>
      </c>
      <c r="B365" s="4">
        <v>45845</v>
      </c>
      <c r="C365" s="4">
        <v>45850</v>
      </c>
      <c r="D365" s="5">
        <f t="shared" si="5"/>
        <v>5</v>
      </c>
      <c r="E365" t="s">
        <v>1212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1213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</row>
    <row r="366" spans="1:22" x14ac:dyDescent="0.3">
      <c r="A366" t="s">
        <v>1214</v>
      </c>
      <c r="B366" s="4">
        <v>45737</v>
      </c>
      <c r="C366" s="4">
        <v>45740</v>
      </c>
      <c r="D366" s="5">
        <f t="shared" si="5"/>
        <v>3</v>
      </c>
      <c r="E366" t="s">
        <v>1215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1216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</row>
    <row r="367" spans="1:22" x14ac:dyDescent="0.3">
      <c r="A367" t="s">
        <v>1217</v>
      </c>
      <c r="B367" s="4">
        <v>45458</v>
      </c>
      <c r="C367" s="4">
        <v>45464</v>
      </c>
      <c r="D367" s="5">
        <f t="shared" si="5"/>
        <v>6</v>
      </c>
      <c r="E367" t="s">
        <v>1218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1219</v>
      </c>
      <c r="N367" t="s">
        <v>50</v>
      </c>
      <c r="O367">
        <v>8</v>
      </c>
      <c r="P367">
        <v>1706.4</v>
      </c>
      <c r="R367">
        <v>12968.64</v>
      </c>
      <c r="S367">
        <v>10119.61</v>
      </c>
      <c r="T367">
        <v>2849.03</v>
      </c>
      <c r="U367" t="s">
        <v>32</v>
      </c>
      <c r="V367" t="s">
        <v>33</v>
      </c>
    </row>
    <row r="368" spans="1:22" x14ac:dyDescent="0.3">
      <c r="A368" t="s">
        <v>1220</v>
      </c>
      <c r="B368" s="4">
        <v>45673</v>
      </c>
      <c r="C368" s="4">
        <v>45679</v>
      </c>
      <c r="D368" s="5">
        <f t="shared" si="5"/>
        <v>6</v>
      </c>
      <c r="E368" t="s">
        <v>1221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1222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</row>
    <row r="369" spans="1:22" x14ac:dyDescent="0.3">
      <c r="A369" t="s">
        <v>1223</v>
      </c>
      <c r="B369" s="4">
        <v>45366</v>
      </c>
      <c r="C369" s="4">
        <v>45367</v>
      </c>
      <c r="D369" s="5">
        <f t="shared" si="5"/>
        <v>1</v>
      </c>
      <c r="E369" t="s">
        <v>1224</v>
      </c>
      <c r="F369" t="s">
        <v>141</v>
      </c>
      <c r="G369" t="s">
        <v>24</v>
      </c>
      <c r="H369" t="s">
        <v>25</v>
      </c>
      <c r="I369" t="s">
        <v>351</v>
      </c>
      <c r="J369" t="s">
        <v>352</v>
      </c>
      <c r="K369" t="s">
        <v>28</v>
      </c>
      <c r="L369" t="s">
        <v>48</v>
      </c>
      <c r="M369" t="s">
        <v>1225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</row>
    <row r="370" spans="1:22" x14ac:dyDescent="0.3">
      <c r="A370" t="s">
        <v>1226</v>
      </c>
      <c r="B370" s="4">
        <v>45815</v>
      </c>
      <c r="C370" s="4">
        <v>45815</v>
      </c>
      <c r="D370" s="5">
        <f t="shared" si="5"/>
        <v>0</v>
      </c>
      <c r="E370" t="s">
        <v>1227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1228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</row>
    <row r="371" spans="1:22" x14ac:dyDescent="0.3">
      <c r="A371" t="s">
        <v>1229</v>
      </c>
      <c r="B371" s="4">
        <v>45680</v>
      </c>
      <c r="C371" s="4">
        <v>45687</v>
      </c>
      <c r="D371" s="5">
        <f t="shared" si="5"/>
        <v>7</v>
      </c>
      <c r="E371" t="s">
        <v>1230</v>
      </c>
      <c r="F371" t="s">
        <v>114</v>
      </c>
      <c r="G371" t="s">
        <v>24</v>
      </c>
      <c r="H371" t="s">
        <v>25</v>
      </c>
      <c r="I371" t="s">
        <v>351</v>
      </c>
      <c r="J371" t="s">
        <v>352</v>
      </c>
      <c r="K371" t="s">
        <v>28</v>
      </c>
      <c r="L371" t="s">
        <v>91</v>
      </c>
      <c r="M371" t="s">
        <v>1231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</row>
    <row r="372" spans="1:22" x14ac:dyDescent="0.3">
      <c r="A372" t="s">
        <v>1232</v>
      </c>
      <c r="B372" s="4">
        <v>45519</v>
      </c>
      <c r="C372" s="3">
        <v>45525</v>
      </c>
      <c r="D372" s="5">
        <f t="shared" si="5"/>
        <v>6</v>
      </c>
      <c r="E372" t="s">
        <v>1233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1234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</row>
    <row r="373" spans="1:22" x14ac:dyDescent="0.3">
      <c r="A373" t="s">
        <v>1235</v>
      </c>
      <c r="B373" s="4">
        <v>45313</v>
      </c>
      <c r="C373" s="4">
        <v>45315</v>
      </c>
      <c r="D373" s="5">
        <f t="shared" si="5"/>
        <v>2</v>
      </c>
      <c r="E373" t="s">
        <v>1236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1237</v>
      </c>
      <c r="N373" t="s">
        <v>59</v>
      </c>
      <c r="O373">
        <v>6</v>
      </c>
      <c r="P373">
        <v>1026.06</v>
      </c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</row>
    <row r="374" spans="1:22" x14ac:dyDescent="0.3">
      <c r="A374" t="s">
        <v>1238</v>
      </c>
      <c r="B374" s="4">
        <v>45885</v>
      </c>
      <c r="C374" s="4">
        <v>45887</v>
      </c>
      <c r="D374" s="5">
        <f t="shared" si="5"/>
        <v>2</v>
      </c>
      <c r="E374" t="s">
        <v>650</v>
      </c>
      <c r="F374" t="s">
        <v>265</v>
      </c>
      <c r="G374" t="s">
        <v>24</v>
      </c>
      <c r="H374" t="s">
        <v>38</v>
      </c>
      <c r="I374" t="s">
        <v>229</v>
      </c>
      <c r="J374" t="s">
        <v>230</v>
      </c>
      <c r="K374" t="s">
        <v>41</v>
      </c>
      <c r="L374" t="s">
        <v>66</v>
      </c>
      <c r="M374" t="s">
        <v>1239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</row>
    <row r="375" spans="1:22" x14ac:dyDescent="0.3">
      <c r="A375" t="s">
        <v>1240</v>
      </c>
      <c r="B375" s="4">
        <v>45760</v>
      </c>
      <c r="C375" s="4">
        <v>45760</v>
      </c>
      <c r="D375" s="5">
        <f t="shared" si="5"/>
        <v>0</v>
      </c>
      <c r="E375" t="s">
        <v>1241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1242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</row>
    <row r="376" spans="1:22" x14ac:dyDescent="0.3">
      <c r="A376" t="s">
        <v>1243</v>
      </c>
      <c r="B376" s="4">
        <v>45715</v>
      </c>
      <c r="C376" s="4">
        <v>45716</v>
      </c>
      <c r="D376" s="5">
        <f t="shared" si="5"/>
        <v>1</v>
      </c>
      <c r="E376" t="s">
        <v>1244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1245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</row>
    <row r="377" spans="1:22" x14ac:dyDescent="0.3">
      <c r="A377" t="s">
        <v>1246</v>
      </c>
      <c r="B377" s="4">
        <v>45657</v>
      </c>
      <c r="C377" s="3">
        <v>45748</v>
      </c>
      <c r="D377" s="5">
        <f t="shared" si="5"/>
        <v>91</v>
      </c>
      <c r="E377" t="s">
        <v>1247</v>
      </c>
      <c r="F377" t="s">
        <v>71</v>
      </c>
      <c r="G377" t="s">
        <v>24</v>
      </c>
      <c r="H377" t="s">
        <v>25</v>
      </c>
      <c r="I377" t="s">
        <v>351</v>
      </c>
      <c r="J377" t="s">
        <v>352</v>
      </c>
      <c r="K377" t="s">
        <v>41</v>
      </c>
      <c r="L377" t="s">
        <v>66</v>
      </c>
      <c r="M377" t="s">
        <v>1248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</row>
    <row r="378" spans="1:22" x14ac:dyDescent="0.3">
      <c r="A378" t="s">
        <v>1249</v>
      </c>
      <c r="B378" s="4">
        <v>45655</v>
      </c>
      <c r="C378" s="4">
        <v>45657</v>
      </c>
      <c r="D378" s="5">
        <f t="shared" si="5"/>
        <v>2</v>
      </c>
      <c r="E378" t="s">
        <v>1250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1251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</row>
    <row r="379" spans="1:22" x14ac:dyDescent="0.3">
      <c r="A379" t="s">
        <v>1252</v>
      </c>
      <c r="B379" s="3">
        <v>45801</v>
      </c>
      <c r="C379" s="4">
        <v>45807</v>
      </c>
      <c r="D379" s="5">
        <f t="shared" si="5"/>
        <v>6</v>
      </c>
      <c r="E379" t="s">
        <v>1253</v>
      </c>
      <c r="F379" t="s">
        <v>265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1254</v>
      </c>
      <c r="M379" t="s">
        <v>1255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</row>
    <row r="380" spans="1:22" x14ac:dyDescent="0.3">
      <c r="A380" t="s">
        <v>1256</v>
      </c>
      <c r="B380" s="4">
        <v>45799</v>
      </c>
      <c r="C380" s="4">
        <v>45799</v>
      </c>
      <c r="D380" s="5">
        <f t="shared" si="5"/>
        <v>0</v>
      </c>
      <c r="E380" t="s">
        <v>1257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1258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</row>
    <row r="381" spans="1:22" x14ac:dyDescent="0.3">
      <c r="A381" t="s">
        <v>1259</v>
      </c>
      <c r="B381" s="4">
        <v>45554</v>
      </c>
      <c r="C381" s="3">
        <v>45558</v>
      </c>
      <c r="D381" s="5">
        <f t="shared" si="5"/>
        <v>4</v>
      </c>
      <c r="E381" t="s">
        <v>1260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1261</v>
      </c>
      <c r="N381" t="s">
        <v>59</v>
      </c>
      <c r="O381">
        <v>7</v>
      </c>
      <c r="P381">
        <v>1136.68</v>
      </c>
      <c r="R381">
        <v>7956.76</v>
      </c>
      <c r="S381">
        <v>4799.54</v>
      </c>
      <c r="T381">
        <v>3157.22</v>
      </c>
      <c r="U381" t="s">
        <v>32</v>
      </c>
      <c r="V381" t="s">
        <v>33</v>
      </c>
    </row>
    <row r="382" spans="1:22" x14ac:dyDescent="0.3">
      <c r="A382" t="s">
        <v>1262</v>
      </c>
      <c r="B382" s="3">
        <v>45477</v>
      </c>
      <c r="C382" s="4">
        <v>45396</v>
      </c>
      <c r="D382" s="5">
        <f t="shared" si="5"/>
        <v>-81</v>
      </c>
      <c r="E382" t="s">
        <v>1263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1264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</row>
    <row r="383" spans="1:22" x14ac:dyDescent="0.3">
      <c r="A383" t="s">
        <v>1265</v>
      </c>
      <c r="B383" s="4">
        <v>45919</v>
      </c>
      <c r="C383" s="4">
        <v>45923</v>
      </c>
      <c r="D383" s="5">
        <f t="shared" si="5"/>
        <v>4</v>
      </c>
      <c r="E383" t="s">
        <v>1266</v>
      </c>
      <c r="F383" t="s">
        <v>53</v>
      </c>
      <c r="G383" t="s">
        <v>1267</v>
      </c>
      <c r="H383" t="s">
        <v>25</v>
      </c>
      <c r="I383" t="s">
        <v>351</v>
      </c>
      <c r="J383" t="s">
        <v>352</v>
      </c>
      <c r="K383" t="s">
        <v>28</v>
      </c>
      <c r="L383" t="s">
        <v>153</v>
      </c>
      <c r="M383" t="s">
        <v>1268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</row>
    <row r="384" spans="1:22" x14ac:dyDescent="0.3">
      <c r="A384" t="s">
        <v>1269</v>
      </c>
      <c r="B384" s="3">
        <v>45750</v>
      </c>
      <c r="C384" s="4">
        <v>45724</v>
      </c>
      <c r="D384" s="5">
        <f t="shared" si="5"/>
        <v>-26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1270</v>
      </c>
      <c r="L384" t="s">
        <v>171</v>
      </c>
      <c r="M384" t="s">
        <v>1271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</row>
    <row r="385" spans="1:22" x14ac:dyDescent="0.3">
      <c r="A385" t="s">
        <v>1272</v>
      </c>
      <c r="B385" s="3">
        <v>45836</v>
      </c>
      <c r="C385" s="3">
        <v>45784</v>
      </c>
      <c r="D385" s="5">
        <f t="shared" si="5"/>
        <v>-52</v>
      </c>
      <c r="E385" t="s">
        <v>1273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1274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</row>
    <row r="386" spans="1:22" x14ac:dyDescent="0.3">
      <c r="A386" t="s">
        <v>1275</v>
      </c>
      <c r="B386" s="4">
        <v>45366</v>
      </c>
      <c r="C386" s="4">
        <v>45371</v>
      </c>
      <c r="D386" s="5">
        <f t="shared" si="5"/>
        <v>5</v>
      </c>
      <c r="E386" t="s">
        <v>1276</v>
      </c>
      <c r="F386" t="s">
        <v>141</v>
      </c>
      <c r="G386" t="s">
        <v>24</v>
      </c>
      <c r="H386" t="s">
        <v>38</v>
      </c>
      <c r="I386" t="s">
        <v>229</v>
      </c>
      <c r="J386" t="s">
        <v>230</v>
      </c>
      <c r="K386" t="s">
        <v>74</v>
      </c>
      <c r="L386" t="s">
        <v>80</v>
      </c>
      <c r="M386" t="s">
        <v>1277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</row>
    <row r="387" spans="1:22" x14ac:dyDescent="0.3">
      <c r="A387" t="s">
        <v>1278</v>
      </c>
      <c r="B387" s="4">
        <v>45832</v>
      </c>
      <c r="C387" s="3">
        <v>45838</v>
      </c>
      <c r="D387" s="5">
        <f t="shared" ref="D387:D450" si="6">C387-B387</f>
        <v>6</v>
      </c>
      <c r="E387" t="s">
        <v>1279</v>
      </c>
      <c r="F387" t="s">
        <v>53</v>
      </c>
      <c r="G387" t="s">
        <v>24</v>
      </c>
      <c r="H387" t="s">
        <v>25</v>
      </c>
      <c r="I387" t="s">
        <v>237</v>
      </c>
      <c r="J387" t="s">
        <v>238</v>
      </c>
      <c r="K387" t="s">
        <v>28</v>
      </c>
      <c r="L387" t="s">
        <v>91</v>
      </c>
      <c r="M387" t="s">
        <v>1280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</row>
    <row r="388" spans="1:22" x14ac:dyDescent="0.3">
      <c r="A388" t="s">
        <v>1281</v>
      </c>
      <c r="B388" s="4">
        <v>45700</v>
      </c>
      <c r="C388" s="4">
        <v>45702</v>
      </c>
      <c r="D388" s="5">
        <f t="shared" si="6"/>
        <v>2</v>
      </c>
      <c r="E388" t="s">
        <v>1282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1283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</row>
    <row r="389" spans="1:22" x14ac:dyDescent="0.3">
      <c r="A389" t="s">
        <v>1284</v>
      </c>
      <c r="B389" s="4">
        <v>45938</v>
      </c>
      <c r="C389" s="4">
        <v>45882</v>
      </c>
      <c r="D389" s="5">
        <f t="shared" si="6"/>
        <v>-56</v>
      </c>
      <c r="E389" t="s">
        <v>1285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1286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</row>
    <row r="390" spans="1:22" x14ac:dyDescent="0.3">
      <c r="A390" t="s">
        <v>1287</v>
      </c>
      <c r="B390" s="4">
        <v>45425</v>
      </c>
      <c r="C390" s="3">
        <v>45430</v>
      </c>
      <c r="D390" s="5">
        <f t="shared" si="6"/>
        <v>5</v>
      </c>
      <c r="E390" t="s">
        <v>1288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1289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</row>
    <row r="391" spans="1:22" x14ac:dyDescent="0.3">
      <c r="A391" t="s">
        <v>1290</v>
      </c>
      <c r="B391" s="3">
        <v>45416</v>
      </c>
      <c r="C391" s="3">
        <v>45395</v>
      </c>
      <c r="D391" s="5">
        <f t="shared" si="6"/>
        <v>-21</v>
      </c>
      <c r="E391" t="s">
        <v>1291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275</v>
      </c>
      <c r="M391" t="s">
        <v>1292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</row>
    <row r="392" spans="1:22" x14ac:dyDescent="0.3">
      <c r="A392" t="s">
        <v>1293</v>
      </c>
      <c r="B392" s="3">
        <v>45454</v>
      </c>
      <c r="C392" s="4">
        <v>45607</v>
      </c>
      <c r="D392" s="5">
        <f t="shared" si="6"/>
        <v>153</v>
      </c>
      <c r="E392" t="s">
        <v>1294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1295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</row>
    <row r="393" spans="1:22" x14ac:dyDescent="0.3">
      <c r="A393" t="s">
        <v>1296</v>
      </c>
      <c r="B393" s="4">
        <v>45702</v>
      </c>
      <c r="C393" s="3">
        <v>45702</v>
      </c>
      <c r="D393" s="5">
        <f t="shared" si="6"/>
        <v>0</v>
      </c>
      <c r="E393" t="s">
        <v>1297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1298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</row>
    <row r="394" spans="1:22" x14ac:dyDescent="0.3">
      <c r="A394" t="s">
        <v>1299</v>
      </c>
      <c r="B394" s="4">
        <v>45341</v>
      </c>
      <c r="C394" s="3">
        <v>45344</v>
      </c>
      <c r="D394" s="5">
        <f t="shared" si="6"/>
        <v>3</v>
      </c>
      <c r="E394" t="s">
        <v>1300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1301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</row>
    <row r="395" spans="1:22" x14ac:dyDescent="0.3">
      <c r="A395" t="s">
        <v>1302</v>
      </c>
      <c r="B395" s="4">
        <v>45527</v>
      </c>
      <c r="C395" s="4">
        <v>45533</v>
      </c>
      <c r="D395" s="5">
        <f t="shared" si="6"/>
        <v>6</v>
      </c>
      <c r="E395" t="s">
        <v>1303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1304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</row>
    <row r="396" spans="1:22" x14ac:dyDescent="0.3">
      <c r="A396" t="s">
        <v>1305</v>
      </c>
      <c r="B396" s="4">
        <v>45355</v>
      </c>
      <c r="C396" s="3">
        <v>45386</v>
      </c>
      <c r="D396" s="5">
        <f t="shared" si="6"/>
        <v>31</v>
      </c>
      <c r="E396" t="s">
        <v>1306</v>
      </c>
      <c r="F396" t="s">
        <v>265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1307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</row>
    <row r="397" spans="1:22" x14ac:dyDescent="0.3">
      <c r="A397" t="s">
        <v>1308</v>
      </c>
      <c r="B397" s="4">
        <v>45449</v>
      </c>
      <c r="C397" s="4">
        <v>45450</v>
      </c>
      <c r="D397" s="5">
        <f t="shared" si="6"/>
        <v>1</v>
      </c>
      <c r="E397" t="s">
        <v>1309</v>
      </c>
      <c r="F397" t="s">
        <v>118</v>
      </c>
      <c r="G397" t="s">
        <v>95</v>
      </c>
      <c r="H397" t="s">
        <v>54</v>
      </c>
      <c r="I397" t="s">
        <v>248</v>
      </c>
      <c r="J397" t="s">
        <v>249</v>
      </c>
      <c r="K397" t="s">
        <v>41</v>
      </c>
      <c r="L397" t="s">
        <v>42</v>
      </c>
      <c r="M397" t="s">
        <v>1310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</row>
    <row r="398" spans="1:22" x14ac:dyDescent="0.3">
      <c r="A398" t="s">
        <v>1311</v>
      </c>
      <c r="B398" s="4">
        <v>45761</v>
      </c>
      <c r="C398" s="3">
        <v>45769</v>
      </c>
      <c r="D398" s="5">
        <f t="shared" si="6"/>
        <v>8</v>
      </c>
      <c r="E398" t="s">
        <v>1312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275</v>
      </c>
      <c r="M398" t="s">
        <v>1313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</row>
    <row r="399" spans="1:22" x14ac:dyDescent="0.3">
      <c r="A399" t="s">
        <v>1314</v>
      </c>
      <c r="B399" s="3">
        <v>45906</v>
      </c>
      <c r="C399" s="3">
        <v>45936</v>
      </c>
      <c r="D399" s="5">
        <f t="shared" si="6"/>
        <v>30</v>
      </c>
      <c r="E399" t="s">
        <v>1315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1316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</row>
    <row r="400" spans="1:22" x14ac:dyDescent="0.3">
      <c r="A400" t="s">
        <v>1317</v>
      </c>
      <c r="B400" s="3">
        <v>45492</v>
      </c>
      <c r="C400" s="4">
        <v>45499</v>
      </c>
      <c r="D400" s="5">
        <f t="shared" si="6"/>
        <v>7</v>
      </c>
      <c r="E400" t="s">
        <v>1318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275</v>
      </c>
      <c r="M400" t="s">
        <v>1319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</row>
    <row r="401" spans="1:22" x14ac:dyDescent="0.3">
      <c r="A401" t="s">
        <v>1320</v>
      </c>
      <c r="B401" s="4">
        <v>45771</v>
      </c>
      <c r="C401" s="4">
        <v>45776</v>
      </c>
      <c r="D401" s="5">
        <f t="shared" si="6"/>
        <v>5</v>
      </c>
      <c r="E401" t="s">
        <v>1321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1322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</row>
    <row r="402" spans="1:22" x14ac:dyDescent="0.3">
      <c r="A402" t="s">
        <v>1323</v>
      </c>
      <c r="B402" s="4">
        <v>45814</v>
      </c>
      <c r="C402" s="4">
        <v>45967</v>
      </c>
      <c r="D402" s="5">
        <f t="shared" si="6"/>
        <v>153</v>
      </c>
      <c r="E402" t="s">
        <v>1324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1325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</row>
    <row r="403" spans="1:22" x14ac:dyDescent="0.3">
      <c r="A403" t="s">
        <v>1326</v>
      </c>
      <c r="B403" s="3">
        <v>45903</v>
      </c>
      <c r="C403" s="4">
        <v>45732</v>
      </c>
      <c r="D403" s="5">
        <f t="shared" si="6"/>
        <v>-171</v>
      </c>
      <c r="E403" t="s">
        <v>1327</v>
      </c>
      <c r="F403" t="s">
        <v>53</v>
      </c>
      <c r="G403" t="s">
        <v>37</v>
      </c>
      <c r="H403" t="s">
        <v>38</v>
      </c>
      <c r="I403" t="s">
        <v>229</v>
      </c>
      <c r="J403" t="s">
        <v>230</v>
      </c>
      <c r="K403" t="s">
        <v>41</v>
      </c>
      <c r="L403" t="s">
        <v>42</v>
      </c>
      <c r="M403" t="s">
        <v>1328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</row>
    <row r="404" spans="1:22" x14ac:dyDescent="0.3">
      <c r="A404" t="s">
        <v>1329</v>
      </c>
      <c r="B404" s="3">
        <v>45373</v>
      </c>
      <c r="C404" s="4">
        <v>45373</v>
      </c>
      <c r="D404" s="5">
        <f t="shared" si="6"/>
        <v>0</v>
      </c>
      <c r="E404" t="s">
        <v>1330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1331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</row>
    <row r="405" spans="1:22" x14ac:dyDescent="0.3">
      <c r="A405" t="s">
        <v>1332</v>
      </c>
      <c r="B405" s="4">
        <v>45565</v>
      </c>
      <c r="C405" s="4">
        <v>45392</v>
      </c>
      <c r="D405" s="5">
        <f t="shared" si="6"/>
        <v>-173</v>
      </c>
      <c r="E405" t="s">
        <v>1333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1334</v>
      </c>
      <c r="M405" t="s">
        <v>1335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</row>
    <row r="406" spans="1:22" x14ac:dyDescent="0.3">
      <c r="A406" t="s">
        <v>1336</v>
      </c>
      <c r="B406" s="3">
        <v>45318</v>
      </c>
      <c r="C406" s="4">
        <v>45325</v>
      </c>
      <c r="D406" s="5">
        <f t="shared" si="6"/>
        <v>7</v>
      </c>
      <c r="E406" t="s">
        <v>1337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1338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</row>
    <row r="407" spans="1:22" x14ac:dyDescent="0.3">
      <c r="A407" t="s">
        <v>1339</v>
      </c>
      <c r="B407" s="4">
        <v>45558</v>
      </c>
      <c r="C407" s="3">
        <v>45559</v>
      </c>
      <c r="D407" s="5">
        <f t="shared" si="6"/>
        <v>1</v>
      </c>
      <c r="E407" t="s">
        <v>1340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1341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</row>
    <row r="408" spans="1:22" x14ac:dyDescent="0.3">
      <c r="A408" t="s">
        <v>1342</v>
      </c>
      <c r="B408" s="3">
        <v>45713</v>
      </c>
      <c r="C408" s="3">
        <v>45713</v>
      </c>
      <c r="D408" s="5">
        <f t="shared" si="6"/>
        <v>0</v>
      </c>
      <c r="E408" t="s">
        <v>1343</v>
      </c>
      <c r="F408" t="s">
        <v>265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1344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</row>
    <row r="409" spans="1:22" x14ac:dyDescent="0.3">
      <c r="A409" t="s">
        <v>1345</v>
      </c>
      <c r="B409" s="3">
        <v>45631</v>
      </c>
      <c r="C409" s="3">
        <v>45425</v>
      </c>
      <c r="D409" s="5">
        <f t="shared" si="6"/>
        <v>-206</v>
      </c>
      <c r="E409" t="s">
        <v>1346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1347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</row>
    <row r="410" spans="1:22" x14ac:dyDescent="0.3">
      <c r="A410" t="s">
        <v>1348</v>
      </c>
      <c r="B410" s="4">
        <v>45870</v>
      </c>
      <c r="C410" s="4">
        <v>45872</v>
      </c>
      <c r="D410" s="5">
        <f t="shared" si="6"/>
        <v>2</v>
      </c>
      <c r="E410" t="s">
        <v>1349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1350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</row>
    <row r="411" spans="1:22" x14ac:dyDescent="0.3">
      <c r="A411" t="s">
        <v>1351</v>
      </c>
      <c r="B411" s="4">
        <v>45701</v>
      </c>
      <c r="C411" s="4">
        <v>45703</v>
      </c>
      <c r="D411" s="5">
        <f t="shared" si="6"/>
        <v>2</v>
      </c>
      <c r="E411" t="s">
        <v>1352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1353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</row>
    <row r="412" spans="1:22" x14ac:dyDescent="0.3">
      <c r="A412" t="s">
        <v>1354</v>
      </c>
      <c r="B412" s="4">
        <v>45630</v>
      </c>
      <c r="C412" s="3">
        <v>45402</v>
      </c>
      <c r="D412" s="5">
        <f t="shared" si="6"/>
        <v>-228</v>
      </c>
      <c r="E412" t="s">
        <v>1355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1356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</row>
    <row r="413" spans="1:22" x14ac:dyDescent="0.3">
      <c r="A413" t="s">
        <v>1357</v>
      </c>
      <c r="B413" s="4">
        <v>45892</v>
      </c>
      <c r="C413" s="4">
        <v>45897</v>
      </c>
      <c r="D413" s="5">
        <f t="shared" si="6"/>
        <v>5</v>
      </c>
      <c r="E413" t="s">
        <v>1358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1359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</row>
    <row r="414" spans="1:22" x14ac:dyDescent="0.3">
      <c r="A414" t="s">
        <v>1360</v>
      </c>
      <c r="B414" s="4">
        <v>45313</v>
      </c>
      <c r="C414" s="4">
        <v>45321</v>
      </c>
      <c r="D414" s="5">
        <f t="shared" si="6"/>
        <v>8</v>
      </c>
      <c r="E414" t="s">
        <v>1361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1362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</row>
    <row r="415" spans="1:22" x14ac:dyDescent="0.3">
      <c r="A415" t="s">
        <v>1363</v>
      </c>
      <c r="B415" s="4">
        <v>45882</v>
      </c>
      <c r="C415" s="4">
        <v>45886</v>
      </c>
      <c r="D415" s="5">
        <f t="shared" si="6"/>
        <v>4</v>
      </c>
      <c r="E415" t="s">
        <v>1364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1365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</row>
    <row r="416" spans="1:22" x14ac:dyDescent="0.3">
      <c r="A416" t="s">
        <v>1366</v>
      </c>
      <c r="B416" s="4">
        <v>45533</v>
      </c>
      <c r="C416" s="4">
        <v>45534</v>
      </c>
      <c r="D416" s="5">
        <f t="shared" si="6"/>
        <v>1</v>
      </c>
      <c r="E416" t="s">
        <v>1367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1368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</row>
    <row r="417" spans="1:22" x14ac:dyDescent="0.3">
      <c r="A417" t="s">
        <v>1369</v>
      </c>
      <c r="B417" s="4">
        <v>45316</v>
      </c>
      <c r="C417" s="3">
        <v>45318</v>
      </c>
      <c r="D417" s="5">
        <f t="shared" si="6"/>
        <v>2</v>
      </c>
      <c r="E417" t="s">
        <v>1370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1371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</row>
    <row r="418" spans="1:22" x14ac:dyDescent="0.3">
      <c r="A418" t="s">
        <v>1372</v>
      </c>
      <c r="B418" s="4">
        <v>45870</v>
      </c>
      <c r="C418" s="4">
        <v>45673</v>
      </c>
      <c r="D418" s="5">
        <f t="shared" si="6"/>
        <v>-197</v>
      </c>
      <c r="E418" t="s">
        <v>1373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1374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</row>
    <row r="419" spans="1:22" x14ac:dyDescent="0.3">
      <c r="A419" t="s">
        <v>1375</v>
      </c>
      <c r="B419" s="4">
        <v>45686</v>
      </c>
      <c r="C419" s="4">
        <v>45693</v>
      </c>
      <c r="D419" s="5">
        <f t="shared" si="6"/>
        <v>7</v>
      </c>
      <c r="E419" t="s">
        <v>1376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1377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</row>
    <row r="420" spans="1:22" x14ac:dyDescent="0.3">
      <c r="A420" t="s">
        <v>1378</v>
      </c>
      <c r="B420" s="4">
        <v>45605</v>
      </c>
      <c r="C420" s="4">
        <v>45613</v>
      </c>
      <c r="D420" s="5">
        <f t="shared" si="6"/>
        <v>8</v>
      </c>
      <c r="E420" t="s">
        <v>1379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1380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</row>
    <row r="421" spans="1:22" x14ac:dyDescent="0.3">
      <c r="A421" t="s">
        <v>1381</v>
      </c>
      <c r="B421" s="4">
        <v>45926</v>
      </c>
      <c r="C421" s="4">
        <v>45930</v>
      </c>
      <c r="D421" s="5">
        <f t="shared" si="6"/>
        <v>4</v>
      </c>
      <c r="E421" t="s">
        <v>1382</v>
      </c>
      <c r="F421" t="s">
        <v>132</v>
      </c>
      <c r="G421" t="s">
        <v>95</v>
      </c>
      <c r="H421" t="s">
        <v>25</v>
      </c>
      <c r="I421" t="s">
        <v>237</v>
      </c>
      <c r="J421" t="s">
        <v>238</v>
      </c>
      <c r="K421" t="s">
        <v>74</v>
      </c>
      <c r="L421" t="s">
        <v>171</v>
      </c>
      <c r="M421" t="s">
        <v>1383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</row>
    <row r="422" spans="1:22" x14ac:dyDescent="0.3">
      <c r="A422" t="s">
        <v>1384</v>
      </c>
      <c r="B422" s="4">
        <v>45734</v>
      </c>
      <c r="C422" s="4">
        <v>45735</v>
      </c>
      <c r="D422" s="5">
        <f t="shared" si="6"/>
        <v>1</v>
      </c>
      <c r="E422" t="s">
        <v>1385</v>
      </c>
      <c r="F422" t="s">
        <v>47</v>
      </c>
      <c r="G422" t="s">
        <v>90</v>
      </c>
      <c r="H422" t="s">
        <v>54</v>
      </c>
      <c r="I422" t="s">
        <v>248</v>
      </c>
      <c r="J422" t="s">
        <v>249</v>
      </c>
      <c r="K422" t="s">
        <v>74</v>
      </c>
      <c r="L422" t="s">
        <v>275</v>
      </c>
      <c r="M422" t="s">
        <v>1386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</row>
    <row r="423" spans="1:22" x14ac:dyDescent="0.3">
      <c r="A423" t="s">
        <v>1387</v>
      </c>
      <c r="B423" s="4">
        <v>45822</v>
      </c>
      <c r="C423" s="3">
        <v>45827</v>
      </c>
      <c r="D423" s="5">
        <f t="shared" si="6"/>
        <v>5</v>
      </c>
      <c r="E423" t="s">
        <v>1388</v>
      </c>
      <c r="F423" t="s">
        <v>141</v>
      </c>
      <c r="G423" t="s">
        <v>37</v>
      </c>
      <c r="H423" t="s">
        <v>25</v>
      </c>
      <c r="I423" t="s">
        <v>351</v>
      </c>
      <c r="J423" t="s">
        <v>352</v>
      </c>
      <c r="K423" t="s">
        <v>28</v>
      </c>
      <c r="L423" t="s">
        <v>153</v>
      </c>
      <c r="M423" t="s">
        <v>1389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</row>
    <row r="424" spans="1:22" x14ac:dyDescent="0.3">
      <c r="A424" t="s">
        <v>1390</v>
      </c>
      <c r="B424" s="4">
        <v>45903</v>
      </c>
      <c r="C424" s="3">
        <v>45817</v>
      </c>
      <c r="D424" s="5">
        <f t="shared" si="6"/>
        <v>-86</v>
      </c>
      <c r="E424" t="s">
        <v>1391</v>
      </c>
      <c r="F424" t="s">
        <v>265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1392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</row>
    <row r="425" spans="1:22" x14ac:dyDescent="0.3">
      <c r="A425" t="s">
        <v>1393</v>
      </c>
      <c r="B425" s="4">
        <v>45342</v>
      </c>
      <c r="C425" s="4">
        <v>45349</v>
      </c>
      <c r="D425" s="5">
        <f t="shared" si="6"/>
        <v>7</v>
      </c>
      <c r="E425" t="s">
        <v>1394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1395</v>
      </c>
      <c r="N425" t="s">
        <v>1396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</row>
    <row r="426" spans="1:22" x14ac:dyDescent="0.3">
      <c r="A426" t="s">
        <v>1397</v>
      </c>
      <c r="B426" s="4">
        <v>45469</v>
      </c>
      <c r="C426" s="4">
        <v>45472</v>
      </c>
      <c r="D426" s="5">
        <f t="shared" si="6"/>
        <v>3</v>
      </c>
      <c r="E426" t="s">
        <v>1398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1399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</row>
    <row r="427" spans="1:22" x14ac:dyDescent="0.3">
      <c r="A427" t="s">
        <v>1400</v>
      </c>
      <c r="B427" s="4">
        <v>45561</v>
      </c>
      <c r="C427" s="4">
        <v>45562</v>
      </c>
      <c r="D427" s="5">
        <f t="shared" si="6"/>
        <v>1</v>
      </c>
      <c r="E427" t="s">
        <v>1401</v>
      </c>
      <c r="F427" t="s">
        <v>47</v>
      </c>
      <c r="G427" t="s">
        <v>95</v>
      </c>
      <c r="H427" t="s">
        <v>25</v>
      </c>
      <c r="I427" t="s">
        <v>351</v>
      </c>
      <c r="J427" t="s">
        <v>352</v>
      </c>
      <c r="K427" t="s">
        <v>28</v>
      </c>
      <c r="L427" t="s">
        <v>91</v>
      </c>
      <c r="M427" t="s">
        <v>1402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</row>
    <row r="428" spans="1:22" x14ac:dyDescent="0.3">
      <c r="A428" t="s">
        <v>1403</v>
      </c>
      <c r="B428" s="4">
        <v>45473</v>
      </c>
      <c r="C428" s="4">
        <v>45298</v>
      </c>
      <c r="D428" s="5">
        <f t="shared" si="6"/>
        <v>-175</v>
      </c>
      <c r="E428" t="s">
        <v>1404</v>
      </c>
      <c r="F428" t="s">
        <v>89</v>
      </c>
      <c r="G428" t="s">
        <v>24</v>
      </c>
      <c r="H428" t="s">
        <v>25</v>
      </c>
      <c r="I428" t="s">
        <v>237</v>
      </c>
      <c r="J428" t="s">
        <v>238</v>
      </c>
      <c r="K428" t="s">
        <v>74</v>
      </c>
      <c r="L428" t="s">
        <v>80</v>
      </c>
      <c r="M428" t="s">
        <v>1405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</row>
    <row r="429" spans="1:22" x14ac:dyDescent="0.3">
      <c r="A429" t="s">
        <v>1406</v>
      </c>
      <c r="B429" s="4">
        <v>45769</v>
      </c>
      <c r="C429" s="4">
        <v>45771</v>
      </c>
      <c r="D429" s="5">
        <f t="shared" si="6"/>
        <v>2</v>
      </c>
      <c r="E429" t="s">
        <v>1407</v>
      </c>
      <c r="F429" t="s">
        <v>47</v>
      </c>
      <c r="G429" t="s">
        <v>90</v>
      </c>
      <c r="I429" t="s">
        <v>229</v>
      </c>
      <c r="J429" t="s">
        <v>230</v>
      </c>
      <c r="K429" t="s">
        <v>74</v>
      </c>
      <c r="L429" t="s">
        <v>75</v>
      </c>
      <c r="M429" t="s">
        <v>1408</v>
      </c>
      <c r="N429" t="s">
        <v>214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</row>
    <row r="430" spans="1:22" x14ac:dyDescent="0.3">
      <c r="A430" t="s">
        <v>1409</v>
      </c>
      <c r="B430" s="4">
        <v>45731</v>
      </c>
      <c r="C430" s="3">
        <v>45738</v>
      </c>
      <c r="D430" s="5">
        <f t="shared" si="6"/>
        <v>7</v>
      </c>
      <c r="E430" t="s">
        <v>1410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1411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</row>
    <row r="431" spans="1:22" x14ac:dyDescent="0.3">
      <c r="A431" t="s">
        <v>1412</v>
      </c>
      <c r="B431" s="3">
        <v>45660</v>
      </c>
      <c r="C431" s="4">
        <v>45872</v>
      </c>
      <c r="D431" s="5">
        <f t="shared" si="6"/>
        <v>212</v>
      </c>
      <c r="E431" t="s">
        <v>1413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1414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</row>
    <row r="432" spans="1:22" x14ac:dyDescent="0.3">
      <c r="A432" t="s">
        <v>1415</v>
      </c>
      <c r="B432" s="3">
        <v>45534</v>
      </c>
      <c r="C432" s="4">
        <v>45331</v>
      </c>
      <c r="D432" s="5">
        <f t="shared" si="6"/>
        <v>-203</v>
      </c>
      <c r="E432" t="s">
        <v>1416</v>
      </c>
      <c r="F432" t="s">
        <v>79</v>
      </c>
      <c r="G432" t="s">
        <v>37</v>
      </c>
      <c r="H432" t="s">
        <v>25</v>
      </c>
      <c r="I432" t="s">
        <v>237</v>
      </c>
      <c r="J432" t="s">
        <v>238</v>
      </c>
      <c r="K432" t="s">
        <v>28</v>
      </c>
      <c r="L432" t="s">
        <v>29</v>
      </c>
      <c r="M432" t="s">
        <v>1417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</row>
    <row r="433" spans="1:22" x14ac:dyDescent="0.3">
      <c r="A433" t="s">
        <v>1418</v>
      </c>
      <c r="B433" s="3">
        <v>45567</v>
      </c>
      <c r="C433" s="4">
        <v>45335</v>
      </c>
      <c r="D433" s="5">
        <f t="shared" si="6"/>
        <v>-232</v>
      </c>
      <c r="E433" t="s">
        <v>1419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275</v>
      </c>
      <c r="M433" t="s">
        <v>1420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</row>
    <row r="434" spans="1:22" x14ac:dyDescent="0.3">
      <c r="A434" t="s">
        <v>1421</v>
      </c>
      <c r="B434" s="4">
        <v>45533</v>
      </c>
      <c r="C434" s="4">
        <v>45331</v>
      </c>
      <c r="D434" s="5">
        <f t="shared" si="6"/>
        <v>-202</v>
      </c>
      <c r="E434" t="s">
        <v>1422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1423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</row>
    <row r="435" spans="1:22" x14ac:dyDescent="0.3">
      <c r="A435" t="s">
        <v>1424</v>
      </c>
      <c r="B435" s="4">
        <v>45401</v>
      </c>
      <c r="C435" s="4">
        <v>45402</v>
      </c>
      <c r="D435" s="5">
        <f t="shared" si="6"/>
        <v>1</v>
      </c>
      <c r="E435" t="s">
        <v>1425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1426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</row>
    <row r="436" spans="1:22" x14ac:dyDescent="0.3">
      <c r="A436" t="s">
        <v>1427</v>
      </c>
      <c r="B436" s="4">
        <v>45758</v>
      </c>
      <c r="C436" s="4">
        <v>45762</v>
      </c>
      <c r="D436" s="5">
        <f t="shared" si="6"/>
        <v>4</v>
      </c>
      <c r="E436" t="s">
        <v>1428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1429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</row>
    <row r="437" spans="1:22" x14ac:dyDescent="0.3">
      <c r="A437" t="s">
        <v>1430</v>
      </c>
      <c r="B437" s="4">
        <v>45995</v>
      </c>
      <c r="C437" s="4">
        <v>45767</v>
      </c>
      <c r="D437" s="5">
        <f t="shared" si="6"/>
        <v>-228</v>
      </c>
      <c r="E437" t="s">
        <v>1431</v>
      </c>
      <c r="F437" t="s">
        <v>265</v>
      </c>
      <c r="G437" t="s">
        <v>95</v>
      </c>
      <c r="H437" t="s">
        <v>25</v>
      </c>
      <c r="I437" t="s">
        <v>351</v>
      </c>
      <c r="J437" t="s">
        <v>352</v>
      </c>
      <c r="K437" t="s">
        <v>74</v>
      </c>
      <c r="L437" t="s">
        <v>275</v>
      </c>
      <c r="M437" t="s">
        <v>1432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</row>
    <row r="438" spans="1:22" x14ac:dyDescent="0.3">
      <c r="A438" t="s">
        <v>1433</v>
      </c>
      <c r="B438" s="3">
        <v>45459</v>
      </c>
      <c r="C438" s="3">
        <v>45464</v>
      </c>
      <c r="D438" s="5">
        <f t="shared" si="6"/>
        <v>5</v>
      </c>
      <c r="E438" t="s">
        <v>1434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1435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</row>
    <row r="439" spans="1:22" x14ac:dyDescent="0.3">
      <c r="A439" t="s">
        <v>1436</v>
      </c>
      <c r="B439" s="4">
        <v>45337</v>
      </c>
      <c r="C439" s="4">
        <v>45340</v>
      </c>
      <c r="D439" s="5">
        <f t="shared" si="6"/>
        <v>3</v>
      </c>
      <c r="E439" t="s">
        <v>1437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1438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</row>
    <row r="440" spans="1:22" x14ac:dyDescent="0.3">
      <c r="A440" t="s">
        <v>1439</v>
      </c>
      <c r="B440" s="3">
        <v>45843</v>
      </c>
      <c r="C440" s="4">
        <v>45782</v>
      </c>
      <c r="D440" s="5">
        <f t="shared" si="6"/>
        <v>-61</v>
      </c>
      <c r="E440" t="s">
        <v>1440</v>
      </c>
      <c r="F440" t="s">
        <v>79</v>
      </c>
      <c r="G440" t="s">
        <v>90</v>
      </c>
      <c r="H440" t="s">
        <v>38</v>
      </c>
      <c r="I440" t="s">
        <v>229</v>
      </c>
      <c r="J440" t="s">
        <v>230</v>
      </c>
      <c r="K440" t="s">
        <v>74</v>
      </c>
      <c r="L440" t="s">
        <v>171</v>
      </c>
      <c r="M440" t="s">
        <v>1441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</row>
    <row r="441" spans="1:22" x14ac:dyDescent="0.3">
      <c r="A441" t="s">
        <v>1442</v>
      </c>
      <c r="B441" s="4">
        <v>45838</v>
      </c>
      <c r="C441" s="3">
        <v>45723</v>
      </c>
      <c r="D441" s="5">
        <f t="shared" si="6"/>
        <v>-115</v>
      </c>
      <c r="E441" t="s">
        <v>1443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1444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</row>
    <row r="442" spans="1:22" x14ac:dyDescent="0.3">
      <c r="A442" t="s">
        <v>1445</v>
      </c>
      <c r="B442" s="4">
        <v>45384</v>
      </c>
      <c r="C442" s="4">
        <v>45390</v>
      </c>
      <c r="D442" s="5">
        <f t="shared" si="6"/>
        <v>6</v>
      </c>
      <c r="E442" t="s">
        <v>271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275</v>
      </c>
      <c r="M442" t="s">
        <v>1446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</row>
    <row r="443" spans="1:22" x14ac:dyDescent="0.3">
      <c r="A443" t="s">
        <v>1447</v>
      </c>
      <c r="B443" s="4">
        <v>45361</v>
      </c>
      <c r="C443" s="4">
        <v>45361</v>
      </c>
      <c r="D443" s="5">
        <f t="shared" si="6"/>
        <v>0</v>
      </c>
      <c r="E443" t="s">
        <v>1448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1449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</row>
    <row r="444" spans="1:22" x14ac:dyDescent="0.3">
      <c r="A444" t="s">
        <v>1450</v>
      </c>
      <c r="B444" s="3">
        <v>45992</v>
      </c>
      <c r="C444" s="4">
        <v>45676</v>
      </c>
      <c r="D444" s="5">
        <f t="shared" si="6"/>
        <v>-316</v>
      </c>
      <c r="E444" t="s">
        <v>1451</v>
      </c>
      <c r="F444" t="s">
        <v>128</v>
      </c>
      <c r="G444" t="s">
        <v>24</v>
      </c>
      <c r="H444" t="s">
        <v>38</v>
      </c>
      <c r="I444" t="s">
        <v>229</v>
      </c>
      <c r="J444" t="s">
        <v>230</v>
      </c>
      <c r="K444" t="s">
        <v>41</v>
      </c>
      <c r="L444" t="s">
        <v>42</v>
      </c>
      <c r="M444" t="s">
        <v>1452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</row>
    <row r="445" spans="1:22" x14ac:dyDescent="0.3">
      <c r="A445" t="s">
        <v>1453</v>
      </c>
      <c r="B445" s="4">
        <v>45386</v>
      </c>
      <c r="C445" s="3">
        <v>45477</v>
      </c>
      <c r="D445" s="5">
        <f t="shared" si="6"/>
        <v>91</v>
      </c>
      <c r="E445" t="s">
        <v>1454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1455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</row>
    <row r="446" spans="1:22" x14ac:dyDescent="0.3">
      <c r="A446" t="s">
        <v>1456</v>
      </c>
      <c r="B446" s="3">
        <v>45999</v>
      </c>
      <c r="C446" s="4">
        <v>45885</v>
      </c>
      <c r="D446" s="5">
        <f t="shared" si="6"/>
        <v>-114</v>
      </c>
      <c r="E446" t="s">
        <v>1457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1458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</row>
    <row r="447" spans="1:22" x14ac:dyDescent="0.3">
      <c r="A447" t="s">
        <v>1459</v>
      </c>
      <c r="B447" s="4">
        <v>45421</v>
      </c>
      <c r="C447" s="4">
        <v>45417</v>
      </c>
      <c r="D447" s="5">
        <f t="shared" si="6"/>
        <v>-4</v>
      </c>
      <c r="E447" t="s">
        <v>1460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1461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</row>
    <row r="448" spans="1:22" x14ac:dyDescent="0.3">
      <c r="A448" t="s">
        <v>1462</v>
      </c>
      <c r="B448" s="4">
        <v>45918</v>
      </c>
      <c r="C448" s="4">
        <v>45919</v>
      </c>
      <c r="D448" s="5">
        <f t="shared" si="6"/>
        <v>1</v>
      </c>
      <c r="E448" t="s">
        <v>1463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1464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</row>
    <row r="449" spans="1:22" x14ac:dyDescent="0.3">
      <c r="A449" t="s">
        <v>1465</v>
      </c>
      <c r="B449" s="4">
        <v>45938</v>
      </c>
      <c r="C449" s="3">
        <v>45938</v>
      </c>
      <c r="D449" s="5">
        <f t="shared" si="6"/>
        <v>0</v>
      </c>
      <c r="E449" t="s">
        <v>1466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1467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</row>
    <row r="450" spans="1:22" x14ac:dyDescent="0.3">
      <c r="A450" t="s">
        <v>1468</v>
      </c>
      <c r="B450" s="4">
        <v>45306</v>
      </c>
      <c r="C450" s="3">
        <v>45309</v>
      </c>
      <c r="D450" s="5">
        <f t="shared" si="6"/>
        <v>3</v>
      </c>
      <c r="E450" t="s">
        <v>1469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1470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</row>
    <row r="451" spans="1:22" x14ac:dyDescent="0.3">
      <c r="A451" t="s">
        <v>1471</v>
      </c>
      <c r="B451" s="4">
        <v>45449</v>
      </c>
      <c r="C451" s="3">
        <v>45456</v>
      </c>
      <c r="D451" s="5">
        <f t="shared" ref="D451:D514" si="7">C451-B451</f>
        <v>7</v>
      </c>
      <c r="E451" t="s">
        <v>1364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275</v>
      </c>
      <c r="M451" t="s">
        <v>1472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</row>
    <row r="452" spans="1:22" x14ac:dyDescent="0.3">
      <c r="A452" t="s">
        <v>1473</v>
      </c>
      <c r="B452" s="4">
        <v>45820</v>
      </c>
      <c r="C452" s="4">
        <v>45827</v>
      </c>
      <c r="D452" s="5">
        <f t="shared" si="7"/>
        <v>7</v>
      </c>
      <c r="E452" t="s">
        <v>1474</v>
      </c>
      <c r="F452" t="s">
        <v>62</v>
      </c>
      <c r="G452" t="s">
        <v>90</v>
      </c>
      <c r="H452" t="s">
        <v>25</v>
      </c>
      <c r="I452" t="s">
        <v>351</v>
      </c>
      <c r="J452" t="s">
        <v>352</v>
      </c>
      <c r="K452" t="s">
        <v>41</v>
      </c>
      <c r="L452" t="s">
        <v>66</v>
      </c>
      <c r="M452" t="s">
        <v>1475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</row>
    <row r="453" spans="1:22" x14ac:dyDescent="0.3">
      <c r="A453" t="s">
        <v>1476</v>
      </c>
      <c r="B453" s="4">
        <v>45375</v>
      </c>
      <c r="C453" s="4">
        <v>45377</v>
      </c>
      <c r="D453" s="5">
        <f t="shared" si="7"/>
        <v>2</v>
      </c>
      <c r="E453" t="s">
        <v>1477</v>
      </c>
      <c r="F453" t="s">
        <v>141</v>
      </c>
      <c r="G453" t="s">
        <v>37</v>
      </c>
      <c r="H453" t="s">
        <v>25</v>
      </c>
      <c r="I453" t="s">
        <v>237</v>
      </c>
      <c r="J453" t="s">
        <v>238</v>
      </c>
      <c r="K453" t="s">
        <v>28</v>
      </c>
      <c r="L453" t="s">
        <v>29</v>
      </c>
      <c r="M453" t="s">
        <v>1478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</row>
    <row r="454" spans="1:22" x14ac:dyDescent="0.3">
      <c r="A454" t="s">
        <v>1479</v>
      </c>
      <c r="B454" s="4">
        <v>45570</v>
      </c>
      <c r="C454" s="4">
        <v>45428</v>
      </c>
      <c r="D454" s="5">
        <f t="shared" si="7"/>
        <v>-142</v>
      </c>
      <c r="E454" t="s">
        <v>1480</v>
      </c>
      <c r="F454" t="s">
        <v>162</v>
      </c>
      <c r="G454" t="s">
        <v>95</v>
      </c>
      <c r="H454" t="s">
        <v>38</v>
      </c>
      <c r="I454" t="s">
        <v>229</v>
      </c>
      <c r="J454" t="s">
        <v>230</v>
      </c>
      <c r="K454" t="s">
        <v>74</v>
      </c>
      <c r="L454" t="s">
        <v>75</v>
      </c>
      <c r="M454" t="s">
        <v>1481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</row>
    <row r="455" spans="1:22" x14ac:dyDescent="0.3">
      <c r="A455" t="s">
        <v>1482</v>
      </c>
      <c r="B455" s="4">
        <v>45780</v>
      </c>
      <c r="C455" s="4">
        <v>45966</v>
      </c>
      <c r="D455" s="5">
        <f t="shared" si="7"/>
        <v>186</v>
      </c>
      <c r="E455" t="s">
        <v>1483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1484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</row>
    <row r="456" spans="1:22" x14ac:dyDescent="0.3">
      <c r="A456" t="s">
        <v>1485</v>
      </c>
      <c r="B456" s="4">
        <v>45739</v>
      </c>
      <c r="C456" s="4">
        <v>45744</v>
      </c>
      <c r="D456" s="5">
        <f t="shared" si="7"/>
        <v>5</v>
      </c>
      <c r="E456" t="s">
        <v>1486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1487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</row>
    <row r="457" spans="1:22" x14ac:dyDescent="0.3">
      <c r="A457" t="s">
        <v>1488</v>
      </c>
      <c r="B457" s="3">
        <v>45491</v>
      </c>
      <c r="C457" s="4">
        <v>45495</v>
      </c>
      <c r="D457" s="5">
        <f t="shared" si="7"/>
        <v>4</v>
      </c>
      <c r="E457" t="s">
        <v>1489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1490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</row>
    <row r="458" spans="1:22" x14ac:dyDescent="0.3">
      <c r="A458" t="s">
        <v>1491</v>
      </c>
      <c r="B458" s="4">
        <v>45342</v>
      </c>
      <c r="C458" s="4">
        <v>45342</v>
      </c>
      <c r="D458" s="5">
        <f t="shared" si="7"/>
        <v>0</v>
      </c>
      <c r="E458" t="s">
        <v>1492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1493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</row>
    <row r="459" spans="1:22" x14ac:dyDescent="0.3">
      <c r="A459" t="s">
        <v>1494</v>
      </c>
      <c r="B459" s="4">
        <v>45416</v>
      </c>
      <c r="C459" s="4">
        <v>45387</v>
      </c>
      <c r="D459" s="5">
        <f t="shared" si="7"/>
        <v>-29</v>
      </c>
      <c r="E459" t="s">
        <v>1495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1496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</row>
    <row r="460" spans="1:22" x14ac:dyDescent="0.3">
      <c r="A460" t="s">
        <v>1497</v>
      </c>
      <c r="B460" s="4">
        <v>45567</v>
      </c>
      <c r="C460" s="4">
        <v>45333</v>
      </c>
      <c r="D460" s="5">
        <f t="shared" si="7"/>
        <v>-234</v>
      </c>
      <c r="E460" t="s">
        <v>1498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1499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</row>
    <row r="461" spans="1:22" x14ac:dyDescent="0.3">
      <c r="A461" t="s">
        <v>1500</v>
      </c>
      <c r="B461" s="4">
        <v>45379</v>
      </c>
      <c r="C461" s="4">
        <v>45386</v>
      </c>
      <c r="D461" s="5">
        <f t="shared" si="7"/>
        <v>7</v>
      </c>
      <c r="E461" t="s">
        <v>1501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1502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</row>
    <row r="462" spans="1:22" x14ac:dyDescent="0.3">
      <c r="A462" t="s">
        <v>1503</v>
      </c>
      <c r="B462" s="3">
        <v>45930</v>
      </c>
      <c r="C462" s="3">
        <v>45818</v>
      </c>
      <c r="D462" s="5">
        <f t="shared" si="7"/>
        <v>-112</v>
      </c>
      <c r="E462" t="s">
        <v>1504</v>
      </c>
      <c r="F462" t="s">
        <v>128</v>
      </c>
      <c r="G462" t="s">
        <v>90</v>
      </c>
      <c r="I462" t="s">
        <v>26</v>
      </c>
      <c r="J462" t="s">
        <v>27</v>
      </c>
      <c r="K462" t="s">
        <v>74</v>
      </c>
      <c r="L462" t="s">
        <v>80</v>
      </c>
      <c r="M462" t="s">
        <v>1505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</row>
    <row r="463" spans="1:22" x14ac:dyDescent="0.3">
      <c r="A463" t="s">
        <v>1506</v>
      </c>
      <c r="B463" s="4">
        <v>45802</v>
      </c>
      <c r="C463" s="4">
        <v>45803</v>
      </c>
      <c r="D463" s="5">
        <f t="shared" si="7"/>
        <v>1</v>
      </c>
      <c r="E463" t="s">
        <v>1507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1508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</row>
    <row r="464" spans="1:22" x14ac:dyDescent="0.3">
      <c r="A464" t="s">
        <v>1509</v>
      </c>
      <c r="B464" s="4">
        <v>45558</v>
      </c>
      <c r="C464" s="4">
        <v>45560</v>
      </c>
      <c r="D464" s="5">
        <f t="shared" si="7"/>
        <v>2</v>
      </c>
      <c r="E464" t="s">
        <v>1510</v>
      </c>
      <c r="F464" t="s">
        <v>128</v>
      </c>
      <c r="G464" t="s">
        <v>95</v>
      </c>
      <c r="H464" t="s">
        <v>25</v>
      </c>
      <c r="I464" t="s">
        <v>351</v>
      </c>
      <c r="J464" t="s">
        <v>352</v>
      </c>
      <c r="K464" t="s">
        <v>28</v>
      </c>
      <c r="L464" t="s">
        <v>153</v>
      </c>
      <c r="M464" t="s">
        <v>1511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</row>
    <row r="465" spans="1:22" x14ac:dyDescent="0.3">
      <c r="A465" t="s">
        <v>1512</v>
      </c>
      <c r="B465" s="4">
        <v>45840</v>
      </c>
      <c r="C465" s="4">
        <v>45871</v>
      </c>
      <c r="D465" s="5">
        <f t="shared" si="7"/>
        <v>31</v>
      </c>
      <c r="E465" t="s">
        <v>1513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1514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</row>
    <row r="466" spans="1:22" x14ac:dyDescent="0.3">
      <c r="A466" t="s">
        <v>1515</v>
      </c>
      <c r="B466" s="4">
        <v>45964</v>
      </c>
      <c r="C466" s="4">
        <v>45731</v>
      </c>
      <c r="D466" s="5">
        <f t="shared" si="7"/>
        <v>-233</v>
      </c>
      <c r="E466" t="s">
        <v>1516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1517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</row>
    <row r="467" spans="1:22" x14ac:dyDescent="0.3">
      <c r="A467" t="s">
        <v>1518</v>
      </c>
      <c r="B467" s="4">
        <v>45320</v>
      </c>
      <c r="C467" s="4">
        <v>45445</v>
      </c>
      <c r="D467" s="5">
        <f t="shared" si="7"/>
        <v>125</v>
      </c>
      <c r="E467" t="s">
        <v>1519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1520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</row>
    <row r="468" spans="1:22" x14ac:dyDescent="0.3">
      <c r="A468" t="s">
        <v>1521</v>
      </c>
      <c r="B468" s="4">
        <v>45383</v>
      </c>
      <c r="C468" s="4">
        <v>45299</v>
      </c>
      <c r="D468" s="5">
        <f t="shared" si="7"/>
        <v>-84</v>
      </c>
      <c r="E468" t="s">
        <v>1522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1523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</row>
    <row r="469" spans="1:22" x14ac:dyDescent="0.3">
      <c r="A469" t="s">
        <v>1524</v>
      </c>
      <c r="B469" s="4">
        <v>45524</v>
      </c>
      <c r="C469" s="3">
        <v>45525</v>
      </c>
      <c r="D469" s="5">
        <f t="shared" si="7"/>
        <v>1</v>
      </c>
      <c r="E469" t="s">
        <v>1525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1526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</row>
    <row r="470" spans="1:22" x14ac:dyDescent="0.3">
      <c r="A470" t="s">
        <v>1527</v>
      </c>
      <c r="B470" s="3">
        <v>45901</v>
      </c>
      <c r="C470" s="3">
        <v>45839</v>
      </c>
      <c r="D470" s="5">
        <f t="shared" si="7"/>
        <v>-62</v>
      </c>
      <c r="E470" t="s">
        <v>1528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1529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</row>
    <row r="471" spans="1:22" x14ac:dyDescent="0.3">
      <c r="A471" t="s">
        <v>1530</v>
      </c>
      <c r="B471" s="4">
        <v>45310</v>
      </c>
      <c r="C471" s="4">
        <v>45316</v>
      </c>
      <c r="D471" s="5">
        <f t="shared" si="7"/>
        <v>6</v>
      </c>
      <c r="E471" t="s">
        <v>1531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1532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</row>
    <row r="472" spans="1:22" x14ac:dyDescent="0.3">
      <c r="A472" t="s">
        <v>1533</v>
      </c>
      <c r="B472" s="4">
        <v>45501</v>
      </c>
      <c r="C472" s="4">
        <v>45504</v>
      </c>
      <c r="D472" s="5">
        <f t="shared" si="7"/>
        <v>3</v>
      </c>
      <c r="E472" t="s">
        <v>1534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1535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</row>
    <row r="473" spans="1:22" x14ac:dyDescent="0.3">
      <c r="A473" t="s">
        <v>1536</v>
      </c>
      <c r="B473" s="4">
        <v>45598</v>
      </c>
      <c r="C473" s="4">
        <v>45337</v>
      </c>
      <c r="D473" s="5">
        <f t="shared" si="7"/>
        <v>-261</v>
      </c>
      <c r="E473" t="s">
        <v>1537</v>
      </c>
      <c r="F473" t="s">
        <v>265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1538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</row>
    <row r="474" spans="1:22" x14ac:dyDescent="0.3">
      <c r="A474" t="s">
        <v>1539</v>
      </c>
      <c r="B474" s="4">
        <v>45325</v>
      </c>
      <c r="C474" s="4">
        <v>45358</v>
      </c>
      <c r="D474" s="5">
        <f t="shared" si="7"/>
        <v>33</v>
      </c>
      <c r="E474" t="s">
        <v>1540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1541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</row>
    <row r="475" spans="1:22" x14ac:dyDescent="0.3">
      <c r="A475" t="s">
        <v>1542</v>
      </c>
      <c r="B475" s="4">
        <v>45609</v>
      </c>
      <c r="C475" s="3">
        <v>45609</v>
      </c>
      <c r="D475" s="5">
        <f t="shared" si="7"/>
        <v>0</v>
      </c>
      <c r="E475" t="s">
        <v>1543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1544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</row>
    <row r="476" spans="1:22" x14ac:dyDescent="0.3">
      <c r="A476" t="s">
        <v>1545</v>
      </c>
      <c r="B476" s="4">
        <v>45357</v>
      </c>
      <c r="C476" s="4">
        <v>45571</v>
      </c>
      <c r="D476" s="5">
        <f t="shared" si="7"/>
        <v>214</v>
      </c>
      <c r="E476" t="s">
        <v>1546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1547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</row>
    <row r="477" spans="1:22" x14ac:dyDescent="0.3">
      <c r="A477" t="s">
        <v>1548</v>
      </c>
      <c r="B477" s="4">
        <v>45717</v>
      </c>
      <c r="C477" s="3">
        <v>45872</v>
      </c>
      <c r="D477" s="5">
        <f t="shared" si="7"/>
        <v>155</v>
      </c>
      <c r="E477" t="s">
        <v>1549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1550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</row>
    <row r="478" spans="1:22" x14ac:dyDescent="0.3">
      <c r="A478" t="s">
        <v>1551</v>
      </c>
      <c r="B478" s="4">
        <v>45419</v>
      </c>
      <c r="C478" s="4">
        <v>45426</v>
      </c>
      <c r="D478" s="5">
        <f t="shared" si="7"/>
        <v>7</v>
      </c>
      <c r="E478" t="s">
        <v>1552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1553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</row>
    <row r="479" spans="1:22" x14ac:dyDescent="0.3">
      <c r="A479" t="s">
        <v>1554</v>
      </c>
      <c r="B479" s="4">
        <v>45892</v>
      </c>
      <c r="C479" s="4">
        <v>45897</v>
      </c>
      <c r="D479" s="5">
        <f t="shared" si="7"/>
        <v>5</v>
      </c>
      <c r="E479" t="s">
        <v>1555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1556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</row>
    <row r="480" spans="1:22" x14ac:dyDescent="0.3">
      <c r="A480" t="s">
        <v>1557</v>
      </c>
      <c r="B480" s="4">
        <v>45452</v>
      </c>
      <c r="C480" s="4">
        <v>45456</v>
      </c>
      <c r="D480" s="5">
        <f t="shared" si="7"/>
        <v>4</v>
      </c>
      <c r="E480" t="s">
        <v>1558</v>
      </c>
      <c r="F480" t="s">
        <v>36</v>
      </c>
      <c r="G480" t="s">
        <v>95</v>
      </c>
      <c r="I480" t="s">
        <v>136</v>
      </c>
      <c r="J480" t="s">
        <v>137</v>
      </c>
      <c r="K480" t="s">
        <v>74</v>
      </c>
      <c r="L480" t="s">
        <v>275</v>
      </c>
      <c r="M480" t="s">
        <v>1559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</row>
    <row r="481" spans="1:22" x14ac:dyDescent="0.3">
      <c r="A481" t="s">
        <v>1560</v>
      </c>
      <c r="B481" s="3">
        <v>45345</v>
      </c>
      <c r="C481" s="4">
        <v>45342</v>
      </c>
      <c r="D481" s="5">
        <f t="shared" si="7"/>
        <v>-3</v>
      </c>
      <c r="E481" t="s">
        <v>1561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1562</v>
      </c>
      <c r="N481" t="s">
        <v>31</v>
      </c>
      <c r="O481">
        <v>1</v>
      </c>
      <c r="P481">
        <v>2202.5500000000002</v>
      </c>
      <c r="R481">
        <v>1651.91</v>
      </c>
      <c r="S481">
        <v>1034.57</v>
      </c>
      <c r="T481">
        <v>617.34</v>
      </c>
      <c r="U481" t="s">
        <v>32</v>
      </c>
      <c r="V481" t="s">
        <v>33</v>
      </c>
    </row>
    <row r="482" spans="1:22" x14ac:dyDescent="0.3">
      <c r="A482" t="s">
        <v>1563</v>
      </c>
      <c r="B482" s="4">
        <v>45778</v>
      </c>
      <c r="C482" s="3">
        <v>45901</v>
      </c>
      <c r="D482" s="5">
        <f t="shared" si="7"/>
        <v>123</v>
      </c>
      <c r="E482" t="s">
        <v>1564</v>
      </c>
      <c r="F482" t="s">
        <v>79</v>
      </c>
      <c r="G482" t="s">
        <v>37</v>
      </c>
      <c r="H482" t="s">
        <v>54</v>
      </c>
      <c r="I482" t="s">
        <v>248</v>
      </c>
      <c r="J482" t="s">
        <v>249</v>
      </c>
      <c r="K482" t="s">
        <v>28</v>
      </c>
      <c r="L482" t="s">
        <v>124</v>
      </c>
      <c r="M482" t="s">
        <v>1565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</row>
    <row r="483" spans="1:22" x14ac:dyDescent="0.3">
      <c r="A483" t="s">
        <v>1566</v>
      </c>
      <c r="B483" s="4">
        <v>45783</v>
      </c>
      <c r="C483" s="4">
        <v>45821</v>
      </c>
      <c r="D483" s="5">
        <f t="shared" si="7"/>
        <v>38</v>
      </c>
      <c r="E483" t="s">
        <v>1567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275</v>
      </c>
      <c r="M483" t="s">
        <v>1568</v>
      </c>
      <c r="N483" t="s">
        <v>44</v>
      </c>
      <c r="O483">
        <v>4</v>
      </c>
      <c r="P483">
        <v>2793.88</v>
      </c>
      <c r="Q483" t="s">
        <v>779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</row>
    <row r="484" spans="1:22" x14ac:dyDescent="0.3">
      <c r="A484" t="s">
        <v>1569</v>
      </c>
      <c r="B484" s="4">
        <v>45495</v>
      </c>
      <c r="C484" s="4">
        <v>45495</v>
      </c>
      <c r="D484" s="5">
        <f t="shared" si="7"/>
        <v>0</v>
      </c>
      <c r="E484" t="s">
        <v>1570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1571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</row>
    <row r="485" spans="1:22" x14ac:dyDescent="0.3">
      <c r="A485" t="s">
        <v>1572</v>
      </c>
      <c r="B485" s="3">
        <v>45651</v>
      </c>
      <c r="C485" s="4">
        <v>45651</v>
      </c>
      <c r="D485" s="5">
        <f t="shared" si="7"/>
        <v>0</v>
      </c>
      <c r="E485" t="s">
        <v>1573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1574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</row>
    <row r="486" spans="1:22" x14ac:dyDescent="0.3">
      <c r="A486" t="s">
        <v>1575</v>
      </c>
      <c r="B486" s="4">
        <v>45654</v>
      </c>
      <c r="C486" s="4">
        <v>45657</v>
      </c>
      <c r="D486" s="5">
        <f t="shared" si="7"/>
        <v>3</v>
      </c>
      <c r="E486" t="s">
        <v>1576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1577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</row>
    <row r="487" spans="1:22" x14ac:dyDescent="0.3">
      <c r="A487" t="s">
        <v>1578</v>
      </c>
      <c r="B487" s="4">
        <v>45679</v>
      </c>
      <c r="C487" s="3">
        <v>45680</v>
      </c>
      <c r="D487" s="5">
        <f t="shared" si="7"/>
        <v>1</v>
      </c>
      <c r="E487" t="s">
        <v>1579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1580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</row>
    <row r="488" spans="1:22" x14ac:dyDescent="0.3">
      <c r="A488" t="s">
        <v>1581</v>
      </c>
      <c r="B488" s="4">
        <v>45830</v>
      </c>
      <c r="C488" s="4">
        <v>45834</v>
      </c>
      <c r="D488" s="5">
        <f t="shared" si="7"/>
        <v>4</v>
      </c>
      <c r="E488" t="s">
        <v>1582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1583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</row>
    <row r="489" spans="1:22" x14ac:dyDescent="0.3">
      <c r="A489" t="s">
        <v>1584</v>
      </c>
      <c r="B489" s="3">
        <v>45936</v>
      </c>
      <c r="C489" s="4">
        <v>45825</v>
      </c>
      <c r="D489" s="5">
        <f t="shared" si="7"/>
        <v>-111</v>
      </c>
      <c r="E489" t="s">
        <v>1585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1586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</row>
    <row r="490" spans="1:22" x14ac:dyDescent="0.3">
      <c r="A490" t="s">
        <v>1587</v>
      </c>
      <c r="B490" s="3">
        <v>45579</v>
      </c>
      <c r="C490" s="4">
        <v>45585</v>
      </c>
      <c r="D490" s="5">
        <f t="shared" si="7"/>
        <v>6</v>
      </c>
      <c r="E490" t="s">
        <v>1588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1589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</row>
    <row r="491" spans="1:22" x14ac:dyDescent="0.3">
      <c r="A491" t="s">
        <v>1590</v>
      </c>
      <c r="B491" s="4">
        <v>45475</v>
      </c>
      <c r="C491" s="4">
        <v>45628</v>
      </c>
      <c r="D491" s="5">
        <f t="shared" si="7"/>
        <v>153</v>
      </c>
      <c r="E491" t="s">
        <v>1591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1592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</row>
    <row r="492" spans="1:22" x14ac:dyDescent="0.3">
      <c r="A492" t="s">
        <v>1593</v>
      </c>
      <c r="B492" s="4">
        <v>45551</v>
      </c>
      <c r="C492" s="4">
        <v>45554</v>
      </c>
      <c r="D492" s="5">
        <f t="shared" si="7"/>
        <v>3</v>
      </c>
      <c r="E492" t="s">
        <v>1594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1595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</row>
    <row r="493" spans="1:22" x14ac:dyDescent="0.3">
      <c r="A493" t="s">
        <v>1596</v>
      </c>
      <c r="B493" s="4">
        <v>45776</v>
      </c>
      <c r="C493" s="4">
        <v>45777</v>
      </c>
      <c r="D493" s="5">
        <f t="shared" si="7"/>
        <v>1</v>
      </c>
      <c r="E493" t="s">
        <v>1597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1598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</row>
    <row r="494" spans="1:22" x14ac:dyDescent="0.3">
      <c r="A494" t="s">
        <v>1599</v>
      </c>
      <c r="B494" s="4">
        <v>45836</v>
      </c>
      <c r="C494" s="4">
        <v>45840</v>
      </c>
      <c r="D494" s="5">
        <f t="shared" si="7"/>
        <v>4</v>
      </c>
      <c r="E494" t="s">
        <v>1600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1601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</row>
    <row r="495" spans="1:22" x14ac:dyDescent="0.3">
      <c r="A495" t="s">
        <v>1602</v>
      </c>
      <c r="B495" s="3">
        <v>45701</v>
      </c>
      <c r="C495" s="4">
        <v>45701</v>
      </c>
      <c r="D495" s="5">
        <f t="shared" si="7"/>
        <v>0</v>
      </c>
      <c r="E495" t="s">
        <v>1603</v>
      </c>
      <c r="F495" t="s">
        <v>265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1604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1605</v>
      </c>
    </row>
    <row r="496" spans="1:22" x14ac:dyDescent="0.3">
      <c r="A496" t="s">
        <v>1606</v>
      </c>
      <c r="B496" s="4">
        <v>45610</v>
      </c>
      <c r="C496" s="4">
        <v>45618</v>
      </c>
      <c r="D496" s="5">
        <f t="shared" si="7"/>
        <v>8</v>
      </c>
      <c r="E496" t="s">
        <v>1607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1608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</row>
    <row r="497" spans="1:22" x14ac:dyDescent="0.3">
      <c r="A497" t="s">
        <v>1609</v>
      </c>
      <c r="B497" s="4">
        <v>45421</v>
      </c>
      <c r="C497" s="4">
        <v>45427</v>
      </c>
      <c r="D497" s="5">
        <f t="shared" si="7"/>
        <v>6</v>
      </c>
      <c r="E497" t="s">
        <v>1610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1611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</row>
    <row r="498" spans="1:22" x14ac:dyDescent="0.3">
      <c r="A498" t="s">
        <v>1612</v>
      </c>
      <c r="B498" s="4">
        <v>45754</v>
      </c>
      <c r="C498" s="4">
        <v>45815</v>
      </c>
      <c r="D498" s="5">
        <f t="shared" si="7"/>
        <v>61</v>
      </c>
      <c r="E498" t="s">
        <v>1613</v>
      </c>
      <c r="F498" t="s">
        <v>265</v>
      </c>
      <c r="G498" t="s">
        <v>37</v>
      </c>
      <c r="H498" t="s">
        <v>38</v>
      </c>
      <c r="I498" t="s">
        <v>229</v>
      </c>
      <c r="J498" t="s">
        <v>230</v>
      </c>
      <c r="K498" t="s">
        <v>41</v>
      </c>
      <c r="L498" t="s">
        <v>66</v>
      </c>
      <c r="M498" t="s">
        <v>1614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</row>
    <row r="499" spans="1:22" x14ac:dyDescent="0.3">
      <c r="A499" t="s">
        <v>1615</v>
      </c>
      <c r="B499" s="3">
        <v>45533</v>
      </c>
      <c r="C499" s="3">
        <v>45533</v>
      </c>
      <c r="D499" s="5">
        <f t="shared" si="7"/>
        <v>0</v>
      </c>
      <c r="E499" t="s">
        <v>1616</v>
      </c>
      <c r="F499" t="s">
        <v>132</v>
      </c>
      <c r="G499" t="s">
        <v>37</v>
      </c>
      <c r="H499" t="s">
        <v>484</v>
      </c>
      <c r="I499" t="s">
        <v>136</v>
      </c>
      <c r="J499" t="s">
        <v>137</v>
      </c>
      <c r="K499" t="s">
        <v>74</v>
      </c>
      <c r="L499" t="s">
        <v>75</v>
      </c>
      <c r="M499" t="s">
        <v>1617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</row>
    <row r="500" spans="1:22" x14ac:dyDescent="0.3">
      <c r="A500" t="s">
        <v>1618</v>
      </c>
      <c r="B500" s="4">
        <v>45847</v>
      </c>
      <c r="C500" s="3">
        <v>45939</v>
      </c>
      <c r="D500" s="5">
        <f t="shared" si="7"/>
        <v>92</v>
      </c>
      <c r="E500" t="s">
        <v>1619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1620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1621</v>
      </c>
    </row>
    <row r="501" spans="1:22" x14ac:dyDescent="0.3">
      <c r="A501" t="s">
        <v>1622</v>
      </c>
      <c r="B501" s="4">
        <v>45648</v>
      </c>
      <c r="C501" s="4">
        <v>45652</v>
      </c>
      <c r="D501" s="5">
        <f t="shared" si="7"/>
        <v>4</v>
      </c>
      <c r="E501" t="s">
        <v>1623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1624</v>
      </c>
      <c r="N501" t="s">
        <v>59</v>
      </c>
      <c r="O501">
        <v>9</v>
      </c>
      <c r="P501">
        <v>1110.8699999999999</v>
      </c>
      <c r="R501">
        <v>7498.37</v>
      </c>
      <c r="S501">
        <v>6059.07</v>
      </c>
      <c r="T501">
        <v>1439.3</v>
      </c>
      <c r="U501" t="s">
        <v>32</v>
      </c>
      <c r="V501" t="s">
        <v>68</v>
      </c>
    </row>
    <row r="502" spans="1:22" x14ac:dyDescent="0.3">
      <c r="A502" t="s">
        <v>1625</v>
      </c>
      <c r="B502" s="4">
        <v>45429</v>
      </c>
      <c r="C502" s="4">
        <v>45434</v>
      </c>
      <c r="D502" s="5">
        <f t="shared" si="7"/>
        <v>5</v>
      </c>
      <c r="E502" t="s">
        <v>1626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1627</v>
      </c>
      <c r="N502" t="s">
        <v>44</v>
      </c>
      <c r="O502">
        <v>9</v>
      </c>
      <c r="P502">
        <v>3795.99</v>
      </c>
      <c r="Q502" t="s">
        <v>779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</row>
    <row r="503" spans="1:22" x14ac:dyDescent="0.3">
      <c r="A503" t="s">
        <v>1628</v>
      </c>
      <c r="B503" s="3">
        <v>45604</v>
      </c>
      <c r="C503" s="4">
        <v>45521</v>
      </c>
      <c r="D503" s="5">
        <f t="shared" si="7"/>
        <v>-83</v>
      </c>
      <c r="E503" t="s">
        <v>822</v>
      </c>
      <c r="F503" t="s">
        <v>79</v>
      </c>
      <c r="G503" t="s">
        <v>24</v>
      </c>
      <c r="H503" t="s">
        <v>38</v>
      </c>
      <c r="I503" t="s">
        <v>229</v>
      </c>
      <c r="J503" t="s">
        <v>230</v>
      </c>
      <c r="K503" t="s">
        <v>28</v>
      </c>
      <c r="L503" t="s">
        <v>48</v>
      </c>
      <c r="M503" t="s">
        <v>1629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</row>
    <row r="504" spans="1:22" x14ac:dyDescent="0.3">
      <c r="A504" t="s">
        <v>1630</v>
      </c>
      <c r="B504" s="4">
        <v>45383</v>
      </c>
      <c r="C504" s="4">
        <v>45539</v>
      </c>
      <c r="D504" s="5">
        <f t="shared" si="7"/>
        <v>156</v>
      </c>
      <c r="E504" t="s">
        <v>1631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1632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</row>
    <row r="505" spans="1:22" x14ac:dyDescent="0.3">
      <c r="A505" t="s">
        <v>1633</v>
      </c>
      <c r="B505" s="4">
        <v>45563</v>
      </c>
      <c r="C505" s="4">
        <v>45422</v>
      </c>
      <c r="D505" s="5">
        <f t="shared" si="7"/>
        <v>-141</v>
      </c>
      <c r="E505" t="s">
        <v>1634</v>
      </c>
      <c r="F505" t="s">
        <v>128</v>
      </c>
      <c r="G505" t="s">
        <v>24</v>
      </c>
      <c r="H505" t="s">
        <v>54</v>
      </c>
      <c r="I505" t="s">
        <v>248</v>
      </c>
      <c r="J505" t="s">
        <v>249</v>
      </c>
      <c r="K505" t="s">
        <v>74</v>
      </c>
      <c r="L505" t="s">
        <v>171</v>
      </c>
      <c r="M505" t="s">
        <v>1635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</row>
    <row r="506" spans="1:22" x14ac:dyDescent="0.3">
      <c r="A506" t="s">
        <v>1636</v>
      </c>
      <c r="B506" s="4">
        <v>45993</v>
      </c>
      <c r="C506" s="4">
        <v>45705</v>
      </c>
      <c r="D506" s="5">
        <f t="shared" si="7"/>
        <v>-288</v>
      </c>
      <c r="E506" t="s">
        <v>1637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1638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</row>
    <row r="507" spans="1:22" x14ac:dyDescent="0.3">
      <c r="A507" t="s">
        <v>1639</v>
      </c>
      <c r="B507" s="4">
        <v>45546</v>
      </c>
      <c r="C507" s="3">
        <v>45610</v>
      </c>
      <c r="D507" s="5">
        <f t="shared" si="7"/>
        <v>64</v>
      </c>
      <c r="E507" t="s">
        <v>1640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1641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</row>
    <row r="508" spans="1:22" x14ac:dyDescent="0.3">
      <c r="A508" t="s">
        <v>1642</v>
      </c>
      <c r="B508" s="4">
        <v>45641</v>
      </c>
      <c r="C508" s="4">
        <v>45641</v>
      </c>
      <c r="D508" s="5">
        <f t="shared" si="7"/>
        <v>0</v>
      </c>
      <c r="E508" t="s">
        <v>1643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1644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</row>
    <row r="509" spans="1:22" x14ac:dyDescent="0.3">
      <c r="A509" t="s">
        <v>1645</v>
      </c>
      <c r="B509" s="4">
        <v>45762</v>
      </c>
      <c r="C509" s="4">
        <v>45769</v>
      </c>
      <c r="D509" s="5">
        <f t="shared" si="7"/>
        <v>7</v>
      </c>
      <c r="E509" t="s">
        <v>1646</v>
      </c>
      <c r="F509" t="s">
        <v>47</v>
      </c>
      <c r="G509" t="s">
        <v>37</v>
      </c>
      <c r="H509" t="s">
        <v>25</v>
      </c>
      <c r="I509" t="s">
        <v>237</v>
      </c>
      <c r="J509" t="s">
        <v>238</v>
      </c>
      <c r="K509" t="s">
        <v>28</v>
      </c>
      <c r="L509" t="s">
        <v>153</v>
      </c>
      <c r="M509" t="s">
        <v>1647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</row>
    <row r="510" spans="1:22" x14ac:dyDescent="0.3">
      <c r="A510" t="s">
        <v>1648</v>
      </c>
      <c r="B510" s="3">
        <v>45382</v>
      </c>
      <c r="C510" s="4">
        <v>45477</v>
      </c>
      <c r="D510" s="5">
        <f t="shared" si="7"/>
        <v>95</v>
      </c>
      <c r="E510" t="s">
        <v>1649</v>
      </c>
      <c r="F510" t="s">
        <v>47</v>
      </c>
      <c r="G510" t="s">
        <v>37</v>
      </c>
      <c r="H510" t="s">
        <v>25</v>
      </c>
      <c r="I510" t="s">
        <v>237</v>
      </c>
      <c r="J510" t="s">
        <v>238</v>
      </c>
      <c r="K510" t="s">
        <v>74</v>
      </c>
      <c r="L510" t="s">
        <v>275</v>
      </c>
      <c r="M510" t="s">
        <v>1650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</row>
    <row r="511" spans="1:22" x14ac:dyDescent="0.3">
      <c r="A511" t="s">
        <v>1651</v>
      </c>
      <c r="B511" s="4">
        <v>45996</v>
      </c>
      <c r="C511" s="4">
        <v>45791</v>
      </c>
      <c r="D511" s="5">
        <f t="shared" si="7"/>
        <v>-205</v>
      </c>
      <c r="E511" t="s">
        <v>1652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275</v>
      </c>
      <c r="M511" t="s">
        <v>1653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</row>
    <row r="512" spans="1:22" x14ac:dyDescent="0.3">
      <c r="A512" t="s">
        <v>1654</v>
      </c>
      <c r="B512" s="4">
        <v>45583</v>
      </c>
      <c r="C512" s="4">
        <v>45586</v>
      </c>
      <c r="D512" s="5">
        <f t="shared" si="7"/>
        <v>3</v>
      </c>
      <c r="E512" t="s">
        <v>1655</v>
      </c>
      <c r="F512" t="s">
        <v>1656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1657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</row>
    <row r="513" spans="1:22" x14ac:dyDescent="0.3">
      <c r="A513" t="s">
        <v>1658</v>
      </c>
      <c r="B513" s="4">
        <v>45588</v>
      </c>
      <c r="C513" s="3">
        <v>45591</v>
      </c>
      <c r="D513" s="5">
        <f t="shared" si="7"/>
        <v>3</v>
      </c>
      <c r="E513" t="s">
        <v>1659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1660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</row>
    <row r="514" spans="1:22" x14ac:dyDescent="0.3">
      <c r="A514" t="s">
        <v>1661</v>
      </c>
      <c r="B514" s="4">
        <v>45718</v>
      </c>
      <c r="C514" s="4">
        <v>45719</v>
      </c>
      <c r="D514" s="5">
        <f t="shared" si="7"/>
        <v>1</v>
      </c>
      <c r="E514" t="s">
        <v>1266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1662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</row>
    <row r="515" spans="1:22" x14ac:dyDescent="0.3">
      <c r="A515" t="s">
        <v>1663</v>
      </c>
      <c r="B515" s="4">
        <v>45835</v>
      </c>
      <c r="C515" s="4">
        <v>45840</v>
      </c>
      <c r="D515" s="5">
        <f t="shared" ref="D515:D578" si="8">C515-B515</f>
        <v>5</v>
      </c>
      <c r="E515" t="s">
        <v>1664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1665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</row>
    <row r="516" spans="1:22" x14ac:dyDescent="0.3">
      <c r="A516" t="s">
        <v>1666</v>
      </c>
      <c r="B516" s="3">
        <v>45614</v>
      </c>
      <c r="C516" s="4">
        <v>45618</v>
      </c>
      <c r="D516" s="5">
        <f t="shared" si="8"/>
        <v>4</v>
      </c>
      <c r="E516" t="s">
        <v>1667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1668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</row>
    <row r="517" spans="1:22" x14ac:dyDescent="0.3">
      <c r="A517" t="s">
        <v>1669</v>
      </c>
      <c r="B517" s="4">
        <v>45758</v>
      </c>
      <c r="C517" s="4">
        <v>45965</v>
      </c>
      <c r="D517" s="5">
        <f t="shared" si="8"/>
        <v>207</v>
      </c>
      <c r="E517" t="s">
        <v>1670</v>
      </c>
      <c r="F517" t="s">
        <v>118</v>
      </c>
      <c r="G517" t="s">
        <v>90</v>
      </c>
      <c r="H517" t="s">
        <v>25</v>
      </c>
      <c r="I517" t="s">
        <v>351</v>
      </c>
      <c r="J517" t="s">
        <v>352</v>
      </c>
      <c r="K517" t="s">
        <v>28</v>
      </c>
      <c r="L517" t="s">
        <v>29</v>
      </c>
      <c r="M517" t="s">
        <v>1671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</row>
    <row r="518" spans="1:22" x14ac:dyDescent="0.3">
      <c r="A518" t="s">
        <v>1672</v>
      </c>
      <c r="B518" s="4">
        <v>45563</v>
      </c>
      <c r="C518" s="3">
        <v>45392</v>
      </c>
      <c r="D518" s="5">
        <f t="shared" si="8"/>
        <v>-171</v>
      </c>
      <c r="E518" t="s">
        <v>1673</v>
      </c>
      <c r="F518" t="s">
        <v>265</v>
      </c>
      <c r="G518" t="s">
        <v>95</v>
      </c>
      <c r="H518" t="s">
        <v>25</v>
      </c>
      <c r="I518" t="s">
        <v>351</v>
      </c>
      <c r="J518" t="s">
        <v>352</v>
      </c>
      <c r="K518" t="s">
        <v>74</v>
      </c>
      <c r="L518" t="s">
        <v>80</v>
      </c>
      <c r="M518" t="s">
        <v>1674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</row>
    <row r="519" spans="1:22" x14ac:dyDescent="0.3">
      <c r="A519" t="s">
        <v>1675</v>
      </c>
      <c r="B519" s="4">
        <v>45802</v>
      </c>
      <c r="C519" s="3">
        <v>45804</v>
      </c>
      <c r="D519" s="5">
        <f t="shared" si="8"/>
        <v>2</v>
      </c>
      <c r="E519" t="s">
        <v>1676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1677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</row>
    <row r="520" spans="1:22" x14ac:dyDescent="0.3">
      <c r="A520" t="s">
        <v>1678</v>
      </c>
      <c r="B520" s="4">
        <v>45777</v>
      </c>
      <c r="C520" s="3">
        <v>45773</v>
      </c>
      <c r="D520" s="5">
        <f t="shared" si="8"/>
        <v>-4</v>
      </c>
      <c r="E520" t="s">
        <v>1679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1680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</row>
    <row r="521" spans="1:22" x14ac:dyDescent="0.3">
      <c r="A521" t="s">
        <v>1681</v>
      </c>
      <c r="B521" s="4">
        <v>45723</v>
      </c>
      <c r="C521" s="4">
        <v>45845</v>
      </c>
      <c r="D521" s="5">
        <f t="shared" si="8"/>
        <v>122</v>
      </c>
      <c r="E521" t="s">
        <v>1682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1683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</row>
    <row r="522" spans="1:22" x14ac:dyDescent="0.3">
      <c r="A522" t="s">
        <v>1684</v>
      </c>
      <c r="B522" s="4">
        <v>45489</v>
      </c>
      <c r="C522" s="3">
        <v>45496</v>
      </c>
      <c r="D522" s="5">
        <f t="shared" si="8"/>
        <v>7</v>
      </c>
      <c r="E522" t="s">
        <v>1685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275</v>
      </c>
      <c r="M522" t="s">
        <v>1686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</row>
    <row r="523" spans="1:22" x14ac:dyDescent="0.3">
      <c r="A523" t="s">
        <v>1687</v>
      </c>
      <c r="B523" s="4">
        <v>45741</v>
      </c>
      <c r="C523" s="4">
        <v>45661</v>
      </c>
      <c r="D523" s="5">
        <f t="shared" si="8"/>
        <v>-80</v>
      </c>
      <c r="E523" t="s">
        <v>1688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1689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</row>
    <row r="524" spans="1:22" x14ac:dyDescent="0.3">
      <c r="A524" t="s">
        <v>1690</v>
      </c>
      <c r="B524" s="4">
        <v>45716</v>
      </c>
      <c r="C524" s="3">
        <v>45872</v>
      </c>
      <c r="D524" s="5">
        <f t="shared" si="8"/>
        <v>156</v>
      </c>
      <c r="E524" t="s">
        <v>1691</v>
      </c>
      <c r="F524" t="s">
        <v>79</v>
      </c>
      <c r="G524" t="s">
        <v>37</v>
      </c>
      <c r="H524" t="s">
        <v>38</v>
      </c>
      <c r="I524" t="s">
        <v>229</v>
      </c>
      <c r="J524" t="s">
        <v>230</v>
      </c>
      <c r="K524" t="s">
        <v>74</v>
      </c>
      <c r="L524" t="s">
        <v>171</v>
      </c>
      <c r="M524" t="s">
        <v>1692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</row>
    <row r="525" spans="1:22" x14ac:dyDescent="0.3">
      <c r="A525" t="s">
        <v>1693</v>
      </c>
      <c r="B525" s="4">
        <v>45326</v>
      </c>
      <c r="C525" s="4">
        <v>45355</v>
      </c>
      <c r="D525" s="5">
        <f t="shared" si="8"/>
        <v>29</v>
      </c>
      <c r="E525" t="s">
        <v>1694</v>
      </c>
      <c r="F525" t="s">
        <v>265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1695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</row>
    <row r="526" spans="1:22" x14ac:dyDescent="0.3">
      <c r="A526" t="s">
        <v>1696</v>
      </c>
      <c r="B526" s="3">
        <v>45626</v>
      </c>
      <c r="C526" s="3">
        <v>45303</v>
      </c>
      <c r="D526" s="5">
        <f t="shared" si="8"/>
        <v>-323</v>
      </c>
      <c r="E526" t="s">
        <v>1697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1698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</row>
    <row r="527" spans="1:22" x14ac:dyDescent="0.3">
      <c r="A527" t="s">
        <v>1699</v>
      </c>
      <c r="B527" s="4">
        <v>45582</v>
      </c>
      <c r="C527" s="4">
        <v>45582</v>
      </c>
      <c r="D527" s="5">
        <f t="shared" si="8"/>
        <v>0</v>
      </c>
      <c r="E527" t="s">
        <v>1700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1701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</row>
    <row r="528" spans="1:22" x14ac:dyDescent="0.3">
      <c r="A528" t="s">
        <v>1702</v>
      </c>
      <c r="B528" s="4">
        <v>45856</v>
      </c>
      <c r="C528" s="3">
        <v>45859</v>
      </c>
      <c r="D528" s="5">
        <f t="shared" si="8"/>
        <v>3</v>
      </c>
      <c r="E528" t="s">
        <v>1703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1704</v>
      </c>
      <c r="N528" t="s">
        <v>31</v>
      </c>
      <c r="O528">
        <v>4</v>
      </c>
      <c r="P528">
        <v>284.04000000000002</v>
      </c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</row>
    <row r="529" spans="1:22" x14ac:dyDescent="0.3">
      <c r="A529" t="s">
        <v>1705</v>
      </c>
      <c r="B529" s="4">
        <v>45667</v>
      </c>
      <c r="C529" s="4">
        <v>45787</v>
      </c>
      <c r="D529" s="5">
        <f t="shared" si="8"/>
        <v>120</v>
      </c>
      <c r="E529" t="s">
        <v>1706</v>
      </c>
      <c r="F529" t="s">
        <v>89</v>
      </c>
      <c r="G529" t="s">
        <v>95</v>
      </c>
      <c r="H529" t="s">
        <v>25</v>
      </c>
      <c r="I529" t="s">
        <v>237</v>
      </c>
      <c r="J529" t="s">
        <v>238</v>
      </c>
      <c r="K529" t="s">
        <v>28</v>
      </c>
      <c r="L529" t="s">
        <v>29</v>
      </c>
      <c r="M529" t="s">
        <v>1707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</row>
    <row r="530" spans="1:22" x14ac:dyDescent="0.3">
      <c r="A530" t="s">
        <v>1708</v>
      </c>
      <c r="B530" s="4">
        <v>45483</v>
      </c>
      <c r="C530" s="4">
        <v>45545</v>
      </c>
      <c r="D530" s="5">
        <f t="shared" si="8"/>
        <v>62</v>
      </c>
      <c r="E530" t="s">
        <v>1709</v>
      </c>
      <c r="F530" t="s">
        <v>162</v>
      </c>
      <c r="G530" t="s">
        <v>24</v>
      </c>
      <c r="H530" t="s">
        <v>54</v>
      </c>
      <c r="I530" t="s">
        <v>248</v>
      </c>
      <c r="J530" t="s">
        <v>249</v>
      </c>
      <c r="K530" t="s">
        <v>28</v>
      </c>
      <c r="L530" t="s">
        <v>153</v>
      </c>
      <c r="M530" t="s">
        <v>1710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</row>
    <row r="531" spans="1:22" x14ac:dyDescent="0.3">
      <c r="A531" t="s">
        <v>1711</v>
      </c>
      <c r="B531" s="4">
        <v>45445</v>
      </c>
      <c r="C531" s="4">
        <v>45506</v>
      </c>
      <c r="D531" s="5">
        <f t="shared" si="8"/>
        <v>61</v>
      </c>
      <c r="E531" t="s">
        <v>740</v>
      </c>
      <c r="F531" t="s">
        <v>23</v>
      </c>
      <c r="G531" t="s">
        <v>24</v>
      </c>
      <c r="H531" t="s">
        <v>38</v>
      </c>
      <c r="I531" t="s">
        <v>229</v>
      </c>
      <c r="J531" t="s">
        <v>230</v>
      </c>
      <c r="K531" t="s">
        <v>41</v>
      </c>
      <c r="L531" t="s">
        <v>158</v>
      </c>
      <c r="M531" t="s">
        <v>1712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</row>
    <row r="532" spans="1:22" x14ac:dyDescent="0.3">
      <c r="A532" t="s">
        <v>1713</v>
      </c>
      <c r="B532" s="4">
        <v>45807</v>
      </c>
      <c r="C532" s="4">
        <v>45663</v>
      </c>
      <c r="D532" s="5">
        <f t="shared" si="8"/>
        <v>-144</v>
      </c>
      <c r="E532" t="s">
        <v>1714</v>
      </c>
      <c r="F532" t="s">
        <v>118</v>
      </c>
      <c r="G532" t="s">
        <v>95</v>
      </c>
      <c r="H532" t="s">
        <v>54</v>
      </c>
      <c r="I532" t="s">
        <v>248</v>
      </c>
      <c r="J532" t="s">
        <v>249</v>
      </c>
      <c r="K532" t="s">
        <v>28</v>
      </c>
      <c r="L532" t="s">
        <v>153</v>
      </c>
      <c r="M532" t="s">
        <v>1715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</row>
    <row r="533" spans="1:22" x14ac:dyDescent="0.3">
      <c r="A533" t="s">
        <v>1716</v>
      </c>
      <c r="B533" s="3">
        <v>45299</v>
      </c>
      <c r="C533" s="4">
        <v>45512</v>
      </c>
      <c r="D533" s="5">
        <f t="shared" si="8"/>
        <v>213</v>
      </c>
      <c r="E533" t="s">
        <v>1717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1718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</row>
    <row r="534" spans="1:22" x14ac:dyDescent="0.3">
      <c r="A534" t="s">
        <v>1719</v>
      </c>
      <c r="B534" s="4">
        <v>45787</v>
      </c>
      <c r="C534" s="4">
        <v>45940</v>
      </c>
      <c r="D534" s="5">
        <f t="shared" si="8"/>
        <v>153</v>
      </c>
      <c r="E534" t="s">
        <v>1720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1721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</row>
    <row r="535" spans="1:22" x14ac:dyDescent="0.3">
      <c r="A535" t="s">
        <v>1722</v>
      </c>
      <c r="B535" s="3">
        <v>45529</v>
      </c>
      <c r="C535" s="4">
        <v>45300</v>
      </c>
      <c r="D535" s="5">
        <f t="shared" si="8"/>
        <v>-229</v>
      </c>
      <c r="E535" t="s">
        <v>1723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1724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</row>
    <row r="536" spans="1:22" x14ac:dyDescent="0.3">
      <c r="A536" t="s">
        <v>1725</v>
      </c>
      <c r="B536" s="4">
        <v>45774</v>
      </c>
      <c r="C536" s="4">
        <v>45782</v>
      </c>
      <c r="D536" s="5">
        <f t="shared" si="8"/>
        <v>8</v>
      </c>
      <c r="E536" t="s">
        <v>1726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1727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</row>
    <row r="537" spans="1:22" x14ac:dyDescent="0.3">
      <c r="A537" t="s">
        <v>1728</v>
      </c>
      <c r="B537" s="4">
        <v>45431</v>
      </c>
      <c r="C537" s="3">
        <v>45433</v>
      </c>
      <c r="D537" s="5">
        <f t="shared" si="8"/>
        <v>2</v>
      </c>
      <c r="E537" t="s">
        <v>1729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1730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</row>
    <row r="538" spans="1:22" x14ac:dyDescent="0.3">
      <c r="A538" t="s">
        <v>1731</v>
      </c>
      <c r="B538" s="4">
        <v>45934</v>
      </c>
      <c r="C538" s="4">
        <v>45764</v>
      </c>
      <c r="D538" s="5">
        <f t="shared" si="8"/>
        <v>-170</v>
      </c>
      <c r="E538" t="s">
        <v>1732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1733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</row>
    <row r="539" spans="1:22" x14ac:dyDescent="0.3">
      <c r="A539" t="s">
        <v>1734</v>
      </c>
      <c r="B539" s="4">
        <v>45313</v>
      </c>
      <c r="C539" s="4">
        <v>45321</v>
      </c>
      <c r="D539" s="5">
        <f t="shared" si="8"/>
        <v>8</v>
      </c>
      <c r="E539" t="s">
        <v>1735</v>
      </c>
      <c r="F539" t="s">
        <v>62</v>
      </c>
      <c r="G539" t="s">
        <v>37</v>
      </c>
      <c r="H539" t="s">
        <v>25</v>
      </c>
      <c r="I539" t="s">
        <v>237</v>
      </c>
      <c r="J539" t="s">
        <v>238</v>
      </c>
      <c r="K539" t="s">
        <v>28</v>
      </c>
      <c r="L539" t="s">
        <v>48</v>
      </c>
      <c r="M539" t="s">
        <v>1736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</row>
    <row r="540" spans="1:22" x14ac:dyDescent="0.3">
      <c r="A540" t="s">
        <v>1737</v>
      </c>
      <c r="B540" s="4">
        <v>45560</v>
      </c>
      <c r="C540" s="4">
        <v>45301</v>
      </c>
      <c r="D540" s="5">
        <f t="shared" si="8"/>
        <v>-259</v>
      </c>
      <c r="E540" t="s">
        <v>1738</v>
      </c>
      <c r="F540" t="s">
        <v>162</v>
      </c>
      <c r="G540" t="s">
        <v>37</v>
      </c>
      <c r="H540" t="s">
        <v>38</v>
      </c>
      <c r="I540" t="s">
        <v>229</v>
      </c>
      <c r="J540" t="s">
        <v>230</v>
      </c>
      <c r="K540" t="s">
        <v>41</v>
      </c>
      <c r="L540" t="s">
        <v>42</v>
      </c>
      <c r="M540" t="s">
        <v>1739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</row>
    <row r="541" spans="1:22" x14ac:dyDescent="0.3">
      <c r="A541" t="s">
        <v>1740</v>
      </c>
      <c r="B541" s="4">
        <v>45842</v>
      </c>
      <c r="C541" s="4">
        <v>45754</v>
      </c>
      <c r="D541" s="5">
        <f t="shared" si="8"/>
        <v>-88</v>
      </c>
      <c r="E541" t="s">
        <v>1741</v>
      </c>
      <c r="F541" t="s">
        <v>1742</v>
      </c>
      <c r="G541" t="s">
        <v>37</v>
      </c>
      <c r="H541" t="s">
        <v>54</v>
      </c>
      <c r="I541" t="s">
        <v>248</v>
      </c>
      <c r="J541" t="s">
        <v>249</v>
      </c>
      <c r="K541" t="s">
        <v>41</v>
      </c>
      <c r="L541" t="s">
        <v>66</v>
      </c>
      <c r="M541" t="s">
        <v>1743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</row>
    <row r="542" spans="1:22" x14ac:dyDescent="0.3">
      <c r="A542" t="s">
        <v>1744</v>
      </c>
      <c r="B542" s="4">
        <v>45348</v>
      </c>
      <c r="C542" s="3">
        <v>45345</v>
      </c>
      <c r="D542" s="5">
        <f t="shared" si="8"/>
        <v>-3</v>
      </c>
      <c r="E542" t="s">
        <v>1745</v>
      </c>
      <c r="F542" t="s">
        <v>265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1746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</row>
    <row r="543" spans="1:22" x14ac:dyDescent="0.3">
      <c r="A543" t="s">
        <v>1747</v>
      </c>
      <c r="B543" s="4">
        <v>45876</v>
      </c>
      <c r="C543" s="4">
        <v>45907</v>
      </c>
      <c r="D543" s="5">
        <f t="shared" si="8"/>
        <v>31</v>
      </c>
      <c r="E543" t="s">
        <v>1748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1749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</row>
    <row r="544" spans="1:22" x14ac:dyDescent="0.3">
      <c r="A544" t="s">
        <v>1750</v>
      </c>
      <c r="B544" s="4">
        <v>45552</v>
      </c>
      <c r="C544" s="4">
        <v>45558</v>
      </c>
      <c r="D544" s="5">
        <f t="shared" si="8"/>
        <v>6</v>
      </c>
      <c r="E544" t="s">
        <v>1751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1752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1753</v>
      </c>
    </row>
    <row r="545" spans="1:22" x14ac:dyDescent="0.3">
      <c r="A545" t="s">
        <v>1754</v>
      </c>
      <c r="B545" s="4">
        <v>45487</v>
      </c>
      <c r="C545" s="4">
        <v>45493</v>
      </c>
      <c r="D545" s="5">
        <f t="shared" si="8"/>
        <v>6</v>
      </c>
      <c r="E545" t="s">
        <v>1755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1756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</row>
    <row r="546" spans="1:22" x14ac:dyDescent="0.3">
      <c r="A546" t="s">
        <v>1757</v>
      </c>
      <c r="B546" s="4">
        <v>45686</v>
      </c>
      <c r="C546" s="4">
        <v>45693</v>
      </c>
      <c r="D546" s="5">
        <f t="shared" si="8"/>
        <v>7</v>
      </c>
      <c r="E546" t="s">
        <v>1758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1759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</row>
    <row r="547" spans="1:22" x14ac:dyDescent="0.3">
      <c r="A547" t="s">
        <v>1760</v>
      </c>
      <c r="B547" s="4">
        <v>45439</v>
      </c>
      <c r="C547" s="3">
        <v>45442</v>
      </c>
      <c r="D547" s="5">
        <f t="shared" si="8"/>
        <v>3</v>
      </c>
      <c r="E547" t="s">
        <v>1761</v>
      </c>
      <c r="F547" t="s">
        <v>265</v>
      </c>
      <c r="G547" t="s">
        <v>37</v>
      </c>
      <c r="H547" t="s">
        <v>38</v>
      </c>
      <c r="I547" t="s">
        <v>229</v>
      </c>
      <c r="J547" t="s">
        <v>230</v>
      </c>
      <c r="K547" t="s">
        <v>28</v>
      </c>
      <c r="L547" t="s">
        <v>124</v>
      </c>
      <c r="M547" t="s">
        <v>1762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</row>
    <row r="548" spans="1:22" x14ac:dyDescent="0.3">
      <c r="A548" t="s">
        <v>1763</v>
      </c>
      <c r="B548" s="4">
        <v>45883</v>
      </c>
      <c r="C548" s="3">
        <v>45891</v>
      </c>
      <c r="D548" s="5">
        <f t="shared" si="8"/>
        <v>8</v>
      </c>
      <c r="E548" t="s">
        <v>1764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1765</v>
      </c>
      <c r="L548" t="s">
        <v>29</v>
      </c>
      <c r="M548" t="s">
        <v>1766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</row>
    <row r="549" spans="1:22" x14ac:dyDescent="0.3">
      <c r="A549" t="s">
        <v>1767</v>
      </c>
      <c r="B549" s="3">
        <v>45428</v>
      </c>
      <c r="C549" s="3">
        <v>45435</v>
      </c>
      <c r="D549" s="5">
        <f t="shared" si="8"/>
        <v>7</v>
      </c>
      <c r="E549" t="s">
        <v>1768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1769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</row>
    <row r="550" spans="1:22" x14ac:dyDescent="0.3">
      <c r="A550" t="s">
        <v>1770</v>
      </c>
      <c r="B550" s="3">
        <v>45441</v>
      </c>
      <c r="C550" s="4">
        <v>45441</v>
      </c>
      <c r="D550" s="5">
        <f t="shared" si="8"/>
        <v>0</v>
      </c>
      <c r="E550" t="s">
        <v>1771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1772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</row>
    <row r="551" spans="1:22" x14ac:dyDescent="0.3">
      <c r="A551" t="s">
        <v>1773</v>
      </c>
      <c r="B551" s="4">
        <v>45941</v>
      </c>
      <c r="C551" s="3">
        <v>45943</v>
      </c>
      <c r="D551" s="5">
        <f t="shared" si="8"/>
        <v>2</v>
      </c>
      <c r="E551" t="s">
        <v>1774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1775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</row>
    <row r="552" spans="1:22" x14ac:dyDescent="0.3">
      <c r="A552" t="s">
        <v>1776</v>
      </c>
      <c r="B552" s="4">
        <v>45330</v>
      </c>
      <c r="C552" s="4">
        <v>45514</v>
      </c>
      <c r="D552" s="5">
        <f t="shared" si="8"/>
        <v>184</v>
      </c>
      <c r="E552" t="s">
        <v>1777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1778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</row>
    <row r="553" spans="1:22" x14ac:dyDescent="0.3">
      <c r="A553" t="s">
        <v>1779</v>
      </c>
      <c r="B553" s="4">
        <v>45349</v>
      </c>
      <c r="C553" s="4">
        <v>45349</v>
      </c>
      <c r="D553" s="5">
        <f t="shared" si="8"/>
        <v>0</v>
      </c>
      <c r="E553" t="s">
        <v>1780</v>
      </c>
      <c r="F553" t="s">
        <v>132</v>
      </c>
      <c r="G553" t="s">
        <v>24</v>
      </c>
      <c r="H553" t="s">
        <v>38</v>
      </c>
      <c r="I553" t="s">
        <v>229</v>
      </c>
      <c r="J553" t="s">
        <v>230</v>
      </c>
      <c r="K553" t="s">
        <v>41</v>
      </c>
      <c r="L553" t="s">
        <v>66</v>
      </c>
      <c r="M553" t="s">
        <v>1781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</row>
    <row r="554" spans="1:22" x14ac:dyDescent="0.3">
      <c r="A554" t="s">
        <v>1782</v>
      </c>
      <c r="B554" s="4">
        <v>45681</v>
      </c>
      <c r="C554" s="3">
        <v>45687</v>
      </c>
      <c r="D554" s="5">
        <f t="shared" si="8"/>
        <v>6</v>
      </c>
      <c r="E554" t="s">
        <v>1783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1784</v>
      </c>
      <c r="N554" t="s">
        <v>59</v>
      </c>
      <c r="O554">
        <v>8</v>
      </c>
      <c r="P554">
        <v>312.52999999999997</v>
      </c>
      <c r="Q554" t="s">
        <v>464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</row>
    <row r="555" spans="1:22" x14ac:dyDescent="0.3">
      <c r="A555" t="s">
        <v>1785</v>
      </c>
      <c r="B555" s="4">
        <v>45772</v>
      </c>
      <c r="C555" s="4">
        <v>45775</v>
      </c>
      <c r="D555" s="5">
        <f t="shared" si="8"/>
        <v>3</v>
      </c>
      <c r="E555" t="s">
        <v>1786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1787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</row>
    <row r="556" spans="1:22" x14ac:dyDescent="0.3">
      <c r="A556" t="s">
        <v>1788</v>
      </c>
      <c r="B556" s="4">
        <v>45636</v>
      </c>
      <c r="C556" s="3">
        <v>45582</v>
      </c>
      <c r="D556" s="5">
        <f t="shared" si="8"/>
        <v>-54</v>
      </c>
      <c r="E556" t="s">
        <v>1789</v>
      </c>
      <c r="F556" t="s">
        <v>53</v>
      </c>
      <c r="G556" t="s">
        <v>24</v>
      </c>
      <c r="I556" t="s">
        <v>229</v>
      </c>
      <c r="J556" t="s">
        <v>230</v>
      </c>
      <c r="K556" t="s">
        <v>41</v>
      </c>
      <c r="L556" t="s">
        <v>57</v>
      </c>
      <c r="M556" t="s">
        <v>1790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</row>
    <row r="557" spans="1:22" x14ac:dyDescent="0.3">
      <c r="A557" t="s">
        <v>1791</v>
      </c>
      <c r="B557" s="4">
        <v>45749</v>
      </c>
      <c r="C557" s="3">
        <v>45932</v>
      </c>
      <c r="D557" s="5">
        <f t="shared" si="8"/>
        <v>183</v>
      </c>
      <c r="E557" t="s">
        <v>1792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1793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</row>
    <row r="558" spans="1:22" x14ac:dyDescent="0.3">
      <c r="A558" t="s">
        <v>1794</v>
      </c>
      <c r="B558" s="3">
        <v>45466</v>
      </c>
      <c r="C558" s="4">
        <v>45472</v>
      </c>
      <c r="D558" s="5">
        <f t="shared" si="8"/>
        <v>6</v>
      </c>
      <c r="E558" t="s">
        <v>1795</v>
      </c>
      <c r="F558" t="s">
        <v>79</v>
      </c>
      <c r="G558" t="s">
        <v>24</v>
      </c>
      <c r="H558" t="s">
        <v>25</v>
      </c>
      <c r="I558" t="s">
        <v>237</v>
      </c>
      <c r="J558" t="s">
        <v>238</v>
      </c>
      <c r="K558" t="s">
        <v>41</v>
      </c>
      <c r="L558" t="s">
        <v>42</v>
      </c>
      <c r="M558" t="s">
        <v>1796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</row>
    <row r="559" spans="1:22" x14ac:dyDescent="0.3">
      <c r="A559" t="s">
        <v>1797</v>
      </c>
      <c r="B559" s="4">
        <v>45509</v>
      </c>
      <c r="C559" s="4">
        <v>45426</v>
      </c>
      <c r="D559" s="5">
        <f t="shared" si="8"/>
        <v>-83</v>
      </c>
      <c r="E559" t="s">
        <v>1798</v>
      </c>
      <c r="F559" t="s">
        <v>71</v>
      </c>
      <c r="G559" t="s">
        <v>95</v>
      </c>
      <c r="H559" t="s">
        <v>25</v>
      </c>
      <c r="I559" t="s">
        <v>237</v>
      </c>
      <c r="J559" t="s">
        <v>238</v>
      </c>
      <c r="K559" t="s">
        <v>74</v>
      </c>
      <c r="L559" t="s">
        <v>171</v>
      </c>
      <c r="M559" t="s">
        <v>1799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</row>
    <row r="560" spans="1:22" x14ac:dyDescent="0.3">
      <c r="A560" t="s">
        <v>1800</v>
      </c>
      <c r="B560" s="4">
        <v>45756</v>
      </c>
      <c r="C560" s="4">
        <v>45904</v>
      </c>
      <c r="D560" s="5">
        <f t="shared" si="8"/>
        <v>148</v>
      </c>
      <c r="E560" t="s">
        <v>1801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275</v>
      </c>
      <c r="M560" t="s">
        <v>1802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</row>
    <row r="561" spans="1:22" x14ac:dyDescent="0.3">
      <c r="A561" t="s">
        <v>1803</v>
      </c>
      <c r="B561" s="3">
        <v>45930</v>
      </c>
      <c r="C561" s="4">
        <v>45848</v>
      </c>
      <c r="D561" s="5">
        <f t="shared" si="8"/>
        <v>-82</v>
      </c>
      <c r="E561" t="s">
        <v>1804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1805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</row>
    <row r="562" spans="1:22" x14ac:dyDescent="0.3">
      <c r="A562" t="s">
        <v>1806</v>
      </c>
      <c r="B562" s="4">
        <v>45307</v>
      </c>
      <c r="C562" s="4">
        <v>45313</v>
      </c>
      <c r="D562" s="5">
        <f t="shared" si="8"/>
        <v>6</v>
      </c>
      <c r="E562" t="s">
        <v>1807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1808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</row>
    <row r="563" spans="1:22" x14ac:dyDescent="0.3">
      <c r="A563" t="s">
        <v>1809</v>
      </c>
      <c r="B563" s="4">
        <v>45852</v>
      </c>
      <c r="C563" s="3">
        <v>45856</v>
      </c>
      <c r="D563" s="5">
        <f t="shared" si="8"/>
        <v>4</v>
      </c>
      <c r="E563" t="s">
        <v>1810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1811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</row>
    <row r="564" spans="1:22" x14ac:dyDescent="0.3">
      <c r="A564" t="s">
        <v>1812</v>
      </c>
      <c r="B564" s="3">
        <v>45570</v>
      </c>
      <c r="C564" s="3">
        <v>45428</v>
      </c>
      <c r="D564" s="5">
        <f t="shared" si="8"/>
        <v>-142</v>
      </c>
      <c r="E564" t="s">
        <v>1813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1814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</row>
    <row r="565" spans="1:22" x14ac:dyDescent="0.3">
      <c r="A565" t="s">
        <v>1815</v>
      </c>
      <c r="B565" s="4">
        <v>45418</v>
      </c>
      <c r="C565" s="4">
        <v>45631</v>
      </c>
      <c r="D565" s="5">
        <f t="shared" si="8"/>
        <v>213</v>
      </c>
      <c r="E565" t="s">
        <v>1816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1817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</row>
    <row r="566" spans="1:22" x14ac:dyDescent="0.3">
      <c r="A566" t="s">
        <v>1818</v>
      </c>
      <c r="B566" s="4">
        <v>45606</v>
      </c>
      <c r="C566" s="4">
        <v>45610</v>
      </c>
      <c r="D566" s="5">
        <f t="shared" si="8"/>
        <v>4</v>
      </c>
      <c r="E566" t="s">
        <v>1819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1820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</row>
    <row r="567" spans="1:22" x14ac:dyDescent="0.3">
      <c r="A567" t="s">
        <v>1821</v>
      </c>
      <c r="B567" s="3">
        <v>45846</v>
      </c>
      <c r="C567" s="4">
        <v>45882</v>
      </c>
      <c r="D567" s="5">
        <f t="shared" si="8"/>
        <v>36</v>
      </c>
      <c r="E567" t="s">
        <v>1822</v>
      </c>
      <c r="F567" t="s">
        <v>36</v>
      </c>
      <c r="G567" t="s">
        <v>90</v>
      </c>
      <c r="H567" t="s">
        <v>25</v>
      </c>
      <c r="I567" t="s">
        <v>351</v>
      </c>
      <c r="J567" t="s">
        <v>352</v>
      </c>
      <c r="K567" t="s">
        <v>74</v>
      </c>
      <c r="L567" t="s">
        <v>171</v>
      </c>
      <c r="M567" t="s">
        <v>1823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</row>
    <row r="568" spans="1:22" x14ac:dyDescent="0.3">
      <c r="A568" t="s">
        <v>1824</v>
      </c>
      <c r="B568" s="3">
        <v>45604</v>
      </c>
      <c r="C568" s="4">
        <v>45523</v>
      </c>
      <c r="D568" s="5">
        <f t="shared" si="8"/>
        <v>-81</v>
      </c>
      <c r="E568" t="s">
        <v>1825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1826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</row>
    <row r="569" spans="1:22" x14ac:dyDescent="0.3">
      <c r="A569" t="s">
        <v>1827</v>
      </c>
      <c r="B569" s="3">
        <v>45445</v>
      </c>
      <c r="C569" s="4">
        <v>45567</v>
      </c>
      <c r="D569" s="5">
        <f t="shared" si="8"/>
        <v>122</v>
      </c>
      <c r="E569" t="s">
        <v>1828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604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</row>
    <row r="570" spans="1:22" x14ac:dyDescent="0.3">
      <c r="A570" t="s">
        <v>1829</v>
      </c>
      <c r="B570" s="3">
        <v>45312</v>
      </c>
      <c r="C570" s="3">
        <v>45315</v>
      </c>
      <c r="D570" s="5">
        <f t="shared" si="8"/>
        <v>3</v>
      </c>
      <c r="E570" t="s">
        <v>1830</v>
      </c>
      <c r="F570" t="s">
        <v>265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275</v>
      </c>
      <c r="M570" t="s">
        <v>1831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</row>
    <row r="571" spans="1:22" x14ac:dyDescent="0.3">
      <c r="A571" t="s">
        <v>1832</v>
      </c>
      <c r="B571" s="4">
        <v>45908</v>
      </c>
      <c r="C571" s="4">
        <v>45939</v>
      </c>
      <c r="D571" s="5">
        <f t="shared" si="8"/>
        <v>31</v>
      </c>
      <c r="E571" t="s">
        <v>1833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1834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</row>
    <row r="572" spans="1:22" x14ac:dyDescent="0.3">
      <c r="A572" t="s">
        <v>1835</v>
      </c>
      <c r="B572" s="4">
        <v>45887</v>
      </c>
      <c r="C572" s="4">
        <v>45891</v>
      </c>
      <c r="D572" s="5">
        <f t="shared" si="8"/>
        <v>4</v>
      </c>
      <c r="E572" t="s">
        <v>1836</v>
      </c>
      <c r="F572" t="s">
        <v>53</v>
      </c>
      <c r="G572" t="s">
        <v>24</v>
      </c>
      <c r="H572" t="s">
        <v>38</v>
      </c>
      <c r="I572" t="s">
        <v>229</v>
      </c>
      <c r="J572" t="s">
        <v>230</v>
      </c>
      <c r="K572" t="s">
        <v>41</v>
      </c>
      <c r="L572" t="s">
        <v>57</v>
      </c>
      <c r="M572" t="s">
        <v>1837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</row>
    <row r="573" spans="1:22" x14ac:dyDescent="0.3">
      <c r="A573" t="s">
        <v>1838</v>
      </c>
      <c r="B573" s="3">
        <v>45932</v>
      </c>
      <c r="C573" s="4">
        <v>45702</v>
      </c>
      <c r="D573" s="5">
        <f t="shared" si="8"/>
        <v>-230</v>
      </c>
      <c r="E573" t="s">
        <v>1839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1840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</row>
    <row r="574" spans="1:22" x14ac:dyDescent="0.3">
      <c r="A574" t="s">
        <v>1841</v>
      </c>
      <c r="B574" s="4">
        <v>45293</v>
      </c>
      <c r="C574" s="4">
        <v>45536</v>
      </c>
      <c r="D574" s="5">
        <f t="shared" si="8"/>
        <v>243</v>
      </c>
      <c r="E574" t="s">
        <v>1842</v>
      </c>
      <c r="F574" t="s">
        <v>162</v>
      </c>
      <c r="G574" t="s">
        <v>90</v>
      </c>
      <c r="H574" t="s">
        <v>25</v>
      </c>
      <c r="I574" t="s">
        <v>351</v>
      </c>
      <c r="J574" t="s">
        <v>352</v>
      </c>
      <c r="K574" t="s">
        <v>74</v>
      </c>
      <c r="L574" t="s">
        <v>171</v>
      </c>
      <c r="M574" t="s">
        <v>1843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</row>
    <row r="575" spans="1:22" x14ac:dyDescent="0.3">
      <c r="A575" t="s">
        <v>1844</v>
      </c>
      <c r="B575" s="4">
        <v>45922</v>
      </c>
      <c r="C575" s="4">
        <v>45926</v>
      </c>
      <c r="D575" s="5">
        <f t="shared" si="8"/>
        <v>4</v>
      </c>
      <c r="E575" t="s">
        <v>1845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1846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</row>
    <row r="576" spans="1:22" x14ac:dyDescent="0.3">
      <c r="A576" t="s">
        <v>1847</v>
      </c>
      <c r="B576" s="3">
        <v>45342</v>
      </c>
      <c r="C576" s="4">
        <v>45347</v>
      </c>
      <c r="D576" s="5">
        <f t="shared" si="8"/>
        <v>5</v>
      </c>
      <c r="E576" t="s">
        <v>815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275</v>
      </c>
      <c r="M576" t="s">
        <v>1848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</row>
    <row r="577" spans="1:22" x14ac:dyDescent="0.3">
      <c r="A577" t="s">
        <v>1849</v>
      </c>
      <c r="B577" s="3">
        <v>45964</v>
      </c>
      <c r="C577" s="3">
        <v>45730</v>
      </c>
      <c r="D577" s="5">
        <f t="shared" si="8"/>
        <v>-234</v>
      </c>
      <c r="E577" t="s">
        <v>1850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1851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</row>
    <row r="578" spans="1:22" x14ac:dyDescent="0.3">
      <c r="A578" t="s">
        <v>1852</v>
      </c>
      <c r="B578" s="4">
        <v>45339</v>
      </c>
      <c r="C578" s="4">
        <v>45345</v>
      </c>
      <c r="D578" s="5">
        <f t="shared" si="8"/>
        <v>6</v>
      </c>
      <c r="E578" t="s">
        <v>1853</v>
      </c>
      <c r="F578" t="s">
        <v>141</v>
      </c>
      <c r="G578" t="s">
        <v>95</v>
      </c>
      <c r="I578" t="s">
        <v>145</v>
      </c>
      <c r="J578" t="s">
        <v>146</v>
      </c>
      <c r="K578" t="s">
        <v>28</v>
      </c>
      <c r="L578" t="s">
        <v>153</v>
      </c>
      <c r="M578" t="s">
        <v>1854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</row>
    <row r="579" spans="1:22" x14ac:dyDescent="0.3">
      <c r="A579" t="s">
        <v>1855</v>
      </c>
      <c r="B579" s="4">
        <v>45897</v>
      </c>
      <c r="C579" s="4">
        <v>45725</v>
      </c>
      <c r="D579" s="5">
        <f t="shared" ref="D579:D642" si="9">C579-B579</f>
        <v>-172</v>
      </c>
      <c r="E579" t="s">
        <v>1856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1857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</row>
    <row r="580" spans="1:22" x14ac:dyDescent="0.3">
      <c r="A580" t="s">
        <v>1858</v>
      </c>
      <c r="B580" s="4">
        <v>45343</v>
      </c>
      <c r="C580" s="4">
        <v>45345</v>
      </c>
      <c r="D580" s="5">
        <f t="shared" si="9"/>
        <v>2</v>
      </c>
      <c r="E580" t="s">
        <v>296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1859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</row>
    <row r="581" spans="1:22" x14ac:dyDescent="0.3">
      <c r="A581" t="s">
        <v>1860</v>
      </c>
      <c r="B581" s="4">
        <v>45462</v>
      </c>
      <c r="C581" s="3">
        <v>45467</v>
      </c>
      <c r="D581" s="5">
        <f t="shared" si="9"/>
        <v>5</v>
      </c>
      <c r="E581" t="s">
        <v>1861</v>
      </c>
      <c r="F581" t="s">
        <v>128</v>
      </c>
      <c r="G581" t="s">
        <v>37</v>
      </c>
      <c r="H581" t="s">
        <v>54</v>
      </c>
      <c r="I581" t="s">
        <v>248</v>
      </c>
      <c r="J581" t="s">
        <v>249</v>
      </c>
      <c r="K581" t="s">
        <v>28</v>
      </c>
      <c r="L581" t="s">
        <v>124</v>
      </c>
      <c r="M581" t="s">
        <v>1862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</row>
    <row r="582" spans="1:22" x14ac:dyDescent="0.3">
      <c r="A582" t="s">
        <v>1863</v>
      </c>
      <c r="B582" s="4">
        <v>45811</v>
      </c>
      <c r="C582" s="4">
        <v>45729</v>
      </c>
      <c r="D582" s="5">
        <f t="shared" si="9"/>
        <v>-82</v>
      </c>
      <c r="E582" t="s">
        <v>1864</v>
      </c>
      <c r="F582" t="s">
        <v>265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1865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</row>
    <row r="583" spans="1:22" x14ac:dyDescent="0.3">
      <c r="A583" t="s">
        <v>1866</v>
      </c>
      <c r="B583" s="4">
        <v>45908</v>
      </c>
      <c r="C583" s="4">
        <v>45879</v>
      </c>
      <c r="D583" s="5">
        <f t="shared" si="9"/>
        <v>-29</v>
      </c>
      <c r="E583" t="s">
        <v>1867</v>
      </c>
      <c r="F583" t="s">
        <v>79</v>
      </c>
      <c r="G583" t="s">
        <v>24</v>
      </c>
      <c r="H583" t="s">
        <v>25</v>
      </c>
      <c r="I583" t="s">
        <v>351</v>
      </c>
      <c r="J583" t="s">
        <v>352</v>
      </c>
      <c r="K583" t="s">
        <v>28</v>
      </c>
      <c r="L583" t="s">
        <v>48</v>
      </c>
      <c r="M583" t="s">
        <v>1868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</row>
    <row r="584" spans="1:22" x14ac:dyDescent="0.3">
      <c r="A584" t="s">
        <v>1869</v>
      </c>
      <c r="B584" s="4">
        <v>45580</v>
      </c>
      <c r="C584" s="4">
        <v>45585</v>
      </c>
      <c r="D584" s="5">
        <f t="shared" si="9"/>
        <v>5</v>
      </c>
      <c r="E584" t="s">
        <v>1870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1871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</row>
    <row r="585" spans="1:22" x14ac:dyDescent="0.3">
      <c r="A585" t="s">
        <v>1872</v>
      </c>
      <c r="B585" s="3">
        <v>45350</v>
      </c>
      <c r="C585" s="4">
        <v>45350</v>
      </c>
      <c r="D585" s="5">
        <f t="shared" si="9"/>
        <v>0</v>
      </c>
      <c r="E585" t="s">
        <v>1873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1874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</row>
    <row r="586" spans="1:22" x14ac:dyDescent="0.3">
      <c r="A586" t="s">
        <v>1875</v>
      </c>
      <c r="B586" s="4">
        <v>45508</v>
      </c>
      <c r="C586" s="4">
        <v>45573</v>
      </c>
      <c r="D586" s="5">
        <f t="shared" si="9"/>
        <v>65</v>
      </c>
      <c r="E586" t="s">
        <v>1876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1877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</row>
    <row r="587" spans="1:22" x14ac:dyDescent="0.3">
      <c r="A587" t="s">
        <v>1878</v>
      </c>
      <c r="B587" s="3">
        <v>45830</v>
      </c>
      <c r="C587" s="4">
        <v>45833</v>
      </c>
      <c r="D587" s="5">
        <f t="shared" si="9"/>
        <v>3</v>
      </c>
      <c r="E587" t="s">
        <v>1879</v>
      </c>
      <c r="F587" t="s">
        <v>162</v>
      </c>
      <c r="G587" t="s">
        <v>37</v>
      </c>
      <c r="H587" t="s">
        <v>702</v>
      </c>
      <c r="I587" t="s">
        <v>64</v>
      </c>
      <c r="J587" t="s">
        <v>65</v>
      </c>
      <c r="K587" t="s">
        <v>74</v>
      </c>
      <c r="L587" t="s">
        <v>171</v>
      </c>
      <c r="M587" t="s">
        <v>1880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</row>
    <row r="588" spans="1:22" x14ac:dyDescent="0.3">
      <c r="A588" t="s">
        <v>1881</v>
      </c>
      <c r="B588" s="4">
        <v>45995</v>
      </c>
      <c r="C588" s="3">
        <v>45995</v>
      </c>
      <c r="D588" s="5">
        <f t="shared" si="9"/>
        <v>0</v>
      </c>
      <c r="E588" t="s">
        <v>1882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1883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</row>
    <row r="589" spans="1:22" x14ac:dyDescent="0.3">
      <c r="A589" t="s">
        <v>1884</v>
      </c>
      <c r="B589" s="4">
        <v>45861</v>
      </c>
      <c r="C589" s="4">
        <v>45869</v>
      </c>
      <c r="D589" s="5">
        <f t="shared" si="9"/>
        <v>8</v>
      </c>
      <c r="E589" t="s">
        <v>1885</v>
      </c>
      <c r="F589" t="s">
        <v>265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1886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</row>
    <row r="590" spans="1:22" x14ac:dyDescent="0.3">
      <c r="A590" t="s">
        <v>1887</v>
      </c>
      <c r="B590" s="4">
        <v>45964</v>
      </c>
      <c r="C590" s="3">
        <v>45731</v>
      </c>
      <c r="D590" s="5">
        <f t="shared" si="9"/>
        <v>-233</v>
      </c>
      <c r="E590" t="s">
        <v>1888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1889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</row>
    <row r="591" spans="1:22" x14ac:dyDescent="0.3">
      <c r="A591" t="s">
        <v>1890</v>
      </c>
      <c r="B591" s="3">
        <v>45455</v>
      </c>
      <c r="C591" s="4">
        <v>45638</v>
      </c>
      <c r="D591" s="5">
        <f t="shared" si="9"/>
        <v>183</v>
      </c>
      <c r="E591" t="s">
        <v>1891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1892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</row>
    <row r="592" spans="1:22" x14ac:dyDescent="0.3">
      <c r="A592" t="s">
        <v>1893</v>
      </c>
      <c r="B592" s="4">
        <v>45441</v>
      </c>
      <c r="C592" s="4">
        <v>45441</v>
      </c>
      <c r="D592" s="5">
        <f t="shared" si="9"/>
        <v>0</v>
      </c>
      <c r="E592" t="s">
        <v>1894</v>
      </c>
      <c r="F592" t="s">
        <v>128</v>
      </c>
      <c r="G592" t="s">
        <v>95</v>
      </c>
      <c r="H592" t="s">
        <v>25</v>
      </c>
      <c r="I592" t="s">
        <v>351</v>
      </c>
      <c r="J592" t="s">
        <v>352</v>
      </c>
      <c r="K592" t="s">
        <v>41</v>
      </c>
      <c r="L592" t="s">
        <v>66</v>
      </c>
      <c r="M592" t="s">
        <v>1895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</row>
    <row r="593" spans="1:22" x14ac:dyDescent="0.3">
      <c r="A593" t="s">
        <v>1896</v>
      </c>
      <c r="B593" s="4">
        <v>45344</v>
      </c>
      <c r="C593" s="4">
        <v>45346</v>
      </c>
      <c r="D593" s="5">
        <f t="shared" si="9"/>
        <v>2</v>
      </c>
      <c r="E593" t="s">
        <v>1897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1898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</row>
    <row r="594" spans="1:22" x14ac:dyDescent="0.3">
      <c r="A594" t="s">
        <v>1899</v>
      </c>
      <c r="B594" s="4">
        <v>45385</v>
      </c>
      <c r="C594" s="4">
        <v>45538</v>
      </c>
      <c r="D594" s="5">
        <f t="shared" si="9"/>
        <v>153</v>
      </c>
      <c r="E594" t="s">
        <v>1900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1901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</row>
    <row r="595" spans="1:22" x14ac:dyDescent="0.3">
      <c r="A595" t="s">
        <v>1902</v>
      </c>
      <c r="B595" s="4">
        <v>45927</v>
      </c>
      <c r="C595" s="4">
        <v>45929</v>
      </c>
      <c r="D595" s="5">
        <f t="shared" si="9"/>
        <v>2</v>
      </c>
      <c r="E595" t="s">
        <v>1691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1903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</row>
    <row r="596" spans="1:22" x14ac:dyDescent="0.3">
      <c r="A596" t="s">
        <v>1904</v>
      </c>
      <c r="B596" s="4">
        <v>45554</v>
      </c>
      <c r="C596" s="4">
        <v>45556</v>
      </c>
      <c r="D596" s="5">
        <f t="shared" si="9"/>
        <v>2</v>
      </c>
      <c r="E596" t="s">
        <v>1905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1906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</row>
    <row r="597" spans="1:22" x14ac:dyDescent="0.3">
      <c r="A597" t="s">
        <v>1907</v>
      </c>
      <c r="B597" s="4">
        <v>45699</v>
      </c>
      <c r="C597" s="4">
        <v>45704</v>
      </c>
      <c r="D597" s="5">
        <f t="shared" si="9"/>
        <v>5</v>
      </c>
      <c r="E597" t="s">
        <v>1908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1909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</row>
    <row r="598" spans="1:22" x14ac:dyDescent="0.3">
      <c r="A598" t="s">
        <v>1910</v>
      </c>
      <c r="B598" s="3">
        <v>45569</v>
      </c>
      <c r="C598" s="4">
        <v>45398</v>
      </c>
      <c r="D598" s="5">
        <f t="shared" si="9"/>
        <v>-171</v>
      </c>
      <c r="E598" t="s">
        <v>1911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1912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</row>
    <row r="599" spans="1:22" x14ac:dyDescent="0.3">
      <c r="A599" t="s">
        <v>1913</v>
      </c>
      <c r="B599" s="3">
        <v>45876</v>
      </c>
      <c r="C599" s="4">
        <v>45846</v>
      </c>
      <c r="D599" s="5">
        <f t="shared" si="9"/>
        <v>-30</v>
      </c>
      <c r="E599" t="s">
        <v>1914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1915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</row>
    <row r="600" spans="1:22" x14ac:dyDescent="0.3">
      <c r="A600" t="s">
        <v>1916</v>
      </c>
      <c r="B600" s="4">
        <v>45521</v>
      </c>
      <c r="C600" s="4">
        <v>45528</v>
      </c>
      <c r="D600" s="5">
        <f t="shared" si="9"/>
        <v>7</v>
      </c>
      <c r="E600" t="s">
        <v>1917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1918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</row>
    <row r="601" spans="1:22" x14ac:dyDescent="0.3">
      <c r="A601" t="s">
        <v>1919</v>
      </c>
      <c r="B601" s="4">
        <v>45523</v>
      </c>
      <c r="C601" s="3">
        <v>45525</v>
      </c>
      <c r="D601" s="5">
        <f t="shared" si="9"/>
        <v>2</v>
      </c>
      <c r="E601" t="s">
        <v>1920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1921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</row>
    <row r="602" spans="1:22" x14ac:dyDescent="0.3">
      <c r="A602" t="s">
        <v>1922</v>
      </c>
      <c r="B602" s="4">
        <v>45780</v>
      </c>
      <c r="C602" s="4">
        <v>45994</v>
      </c>
      <c r="D602" s="5">
        <f t="shared" si="9"/>
        <v>214</v>
      </c>
      <c r="E602" t="s">
        <v>1923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1924</v>
      </c>
      <c r="N602" t="s">
        <v>44</v>
      </c>
      <c r="O602">
        <v>3</v>
      </c>
      <c r="P602">
        <v>3682.75</v>
      </c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</row>
    <row r="603" spans="1:22" x14ac:dyDescent="0.3">
      <c r="A603" t="s">
        <v>1925</v>
      </c>
      <c r="B603" s="3">
        <v>45317</v>
      </c>
      <c r="C603" s="4">
        <v>45322</v>
      </c>
      <c r="D603" s="5">
        <f t="shared" si="9"/>
        <v>5</v>
      </c>
      <c r="E603" t="s">
        <v>1926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1927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</row>
    <row r="604" spans="1:22" x14ac:dyDescent="0.3">
      <c r="A604" t="s">
        <v>1928</v>
      </c>
      <c r="B604" s="4">
        <v>45588</v>
      </c>
      <c r="C604" s="4">
        <v>45595</v>
      </c>
      <c r="D604" s="5">
        <f t="shared" si="9"/>
        <v>7</v>
      </c>
      <c r="E604" t="s">
        <v>1929</v>
      </c>
      <c r="F604" t="s">
        <v>128</v>
      </c>
      <c r="G604" t="s">
        <v>24</v>
      </c>
      <c r="H604" t="s">
        <v>38</v>
      </c>
      <c r="I604" t="s">
        <v>229</v>
      </c>
      <c r="J604" t="s">
        <v>230</v>
      </c>
      <c r="K604" t="s">
        <v>74</v>
      </c>
      <c r="L604" t="s">
        <v>80</v>
      </c>
      <c r="M604" t="s">
        <v>1930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</row>
    <row r="605" spans="1:22" x14ac:dyDescent="0.3">
      <c r="A605" t="s">
        <v>1931</v>
      </c>
      <c r="B605" s="4">
        <v>45660</v>
      </c>
      <c r="C605" s="4">
        <v>45962</v>
      </c>
      <c r="D605" s="5">
        <f t="shared" si="9"/>
        <v>302</v>
      </c>
      <c r="E605" t="s">
        <v>335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1932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</row>
    <row r="606" spans="1:22" x14ac:dyDescent="0.3">
      <c r="A606" t="s">
        <v>1933</v>
      </c>
      <c r="B606" s="4">
        <v>45779</v>
      </c>
      <c r="C606" s="4">
        <v>45694</v>
      </c>
      <c r="D606" s="5">
        <f t="shared" si="9"/>
        <v>-85</v>
      </c>
      <c r="E606" t="s">
        <v>1934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1935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</row>
    <row r="607" spans="1:22" x14ac:dyDescent="0.3">
      <c r="A607" t="s">
        <v>1936</v>
      </c>
      <c r="B607" s="4">
        <v>45907</v>
      </c>
      <c r="C607" s="3">
        <v>45851</v>
      </c>
      <c r="D607" s="5">
        <f t="shared" si="9"/>
        <v>-56</v>
      </c>
      <c r="E607" t="s">
        <v>1937</v>
      </c>
      <c r="F607" t="s">
        <v>265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1938</v>
      </c>
      <c r="N607" t="s">
        <v>31</v>
      </c>
      <c r="O607">
        <v>5</v>
      </c>
      <c r="P607">
        <v>1680.01</v>
      </c>
      <c r="Q607" t="s">
        <v>779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</row>
    <row r="608" spans="1:22" x14ac:dyDescent="0.3">
      <c r="A608" t="s">
        <v>1939</v>
      </c>
      <c r="B608" s="3">
        <v>45710</v>
      </c>
      <c r="C608" s="4">
        <v>45716</v>
      </c>
      <c r="D608" s="5">
        <f t="shared" si="9"/>
        <v>6</v>
      </c>
      <c r="E608" t="s">
        <v>1940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1941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</row>
    <row r="609" spans="1:22" x14ac:dyDescent="0.3">
      <c r="A609" t="s">
        <v>1942</v>
      </c>
      <c r="B609" s="4">
        <v>45704</v>
      </c>
      <c r="C609" s="3">
        <v>45710</v>
      </c>
      <c r="D609" s="5">
        <f t="shared" si="9"/>
        <v>6</v>
      </c>
      <c r="E609" t="s">
        <v>1943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1944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</row>
    <row r="610" spans="1:22" x14ac:dyDescent="0.3">
      <c r="A610" t="s">
        <v>1945</v>
      </c>
      <c r="B610" s="3">
        <v>45464</v>
      </c>
      <c r="C610" s="3">
        <v>45466</v>
      </c>
      <c r="D610" s="5">
        <f t="shared" si="9"/>
        <v>2</v>
      </c>
      <c r="E610" t="s">
        <v>1720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1946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</row>
    <row r="611" spans="1:22" x14ac:dyDescent="0.3">
      <c r="A611" t="s">
        <v>1947</v>
      </c>
      <c r="B611" s="4">
        <v>45870</v>
      </c>
      <c r="C611" s="4">
        <v>45992</v>
      </c>
      <c r="D611" s="5">
        <f t="shared" si="9"/>
        <v>122</v>
      </c>
      <c r="E611" t="s">
        <v>1948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1949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</row>
    <row r="612" spans="1:22" x14ac:dyDescent="0.3">
      <c r="A612" t="s">
        <v>1950</v>
      </c>
      <c r="B612" s="3">
        <v>45432</v>
      </c>
      <c r="C612" s="4">
        <v>45432</v>
      </c>
      <c r="D612" s="5">
        <f t="shared" si="9"/>
        <v>0</v>
      </c>
      <c r="E612" t="s">
        <v>1388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1951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</row>
    <row r="613" spans="1:22" x14ac:dyDescent="0.3">
      <c r="A613" t="s">
        <v>1952</v>
      </c>
      <c r="B613" s="4">
        <v>45876</v>
      </c>
      <c r="C613" s="3">
        <v>45853</v>
      </c>
      <c r="D613" s="5">
        <f t="shared" si="9"/>
        <v>-23</v>
      </c>
      <c r="E613" t="s">
        <v>1953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1954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</row>
    <row r="614" spans="1:22" x14ac:dyDescent="0.3">
      <c r="A614" t="s">
        <v>1955</v>
      </c>
      <c r="B614" s="3">
        <v>45812</v>
      </c>
      <c r="C614" s="4">
        <v>45760</v>
      </c>
      <c r="D614" s="5">
        <f t="shared" si="9"/>
        <v>-52</v>
      </c>
      <c r="E614" t="s">
        <v>1956</v>
      </c>
      <c r="F614" t="s">
        <v>89</v>
      </c>
      <c r="G614" t="s">
        <v>24</v>
      </c>
      <c r="I614" t="s">
        <v>39</v>
      </c>
      <c r="J614" t="s">
        <v>40</v>
      </c>
      <c r="K614" t="s">
        <v>74</v>
      </c>
      <c r="L614" t="s">
        <v>171</v>
      </c>
      <c r="M614" t="s">
        <v>1957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</row>
    <row r="615" spans="1:22" x14ac:dyDescent="0.3">
      <c r="A615" t="s">
        <v>1958</v>
      </c>
      <c r="B615" s="4">
        <v>45422</v>
      </c>
      <c r="C615" s="4">
        <v>45575</v>
      </c>
      <c r="D615" s="5">
        <f t="shared" si="9"/>
        <v>153</v>
      </c>
      <c r="E615" t="s">
        <v>1959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275</v>
      </c>
      <c r="M615" t="s">
        <v>1960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</row>
    <row r="616" spans="1:22" x14ac:dyDescent="0.3">
      <c r="A616" t="s">
        <v>1961</v>
      </c>
      <c r="B616" s="4">
        <v>45598</v>
      </c>
      <c r="C616" s="4">
        <v>45341</v>
      </c>
      <c r="D616" s="5">
        <f t="shared" si="9"/>
        <v>-257</v>
      </c>
      <c r="E616" t="s">
        <v>1962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1963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</row>
    <row r="617" spans="1:22" x14ac:dyDescent="0.3">
      <c r="A617" t="s">
        <v>1964</v>
      </c>
      <c r="B617" s="4">
        <v>45392</v>
      </c>
      <c r="C617" s="4">
        <v>45572</v>
      </c>
      <c r="D617" s="5">
        <f t="shared" si="9"/>
        <v>180</v>
      </c>
      <c r="E617" t="s">
        <v>1965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1966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</row>
    <row r="618" spans="1:22" x14ac:dyDescent="0.3">
      <c r="A618" t="s">
        <v>1967</v>
      </c>
      <c r="B618" s="3">
        <v>45520</v>
      </c>
      <c r="C618" s="4">
        <v>45523</v>
      </c>
      <c r="D618" s="5">
        <f t="shared" si="9"/>
        <v>3</v>
      </c>
      <c r="E618" t="s">
        <v>1968</v>
      </c>
      <c r="F618" t="s">
        <v>265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1969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</row>
    <row r="619" spans="1:22" x14ac:dyDescent="0.3">
      <c r="A619" t="s">
        <v>1970</v>
      </c>
      <c r="B619" s="4">
        <v>45564</v>
      </c>
      <c r="C619" s="4">
        <v>45565</v>
      </c>
      <c r="D619" s="5">
        <f t="shared" si="9"/>
        <v>1</v>
      </c>
      <c r="E619" t="s">
        <v>1971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1972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</row>
    <row r="620" spans="1:22" x14ac:dyDescent="0.3">
      <c r="A620" t="s">
        <v>1973</v>
      </c>
      <c r="B620" s="4">
        <v>45496</v>
      </c>
      <c r="C620" s="4">
        <v>45503</v>
      </c>
      <c r="D620" s="5">
        <f t="shared" si="9"/>
        <v>7</v>
      </c>
      <c r="E620" t="s">
        <v>1974</v>
      </c>
      <c r="F620" t="s">
        <v>265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1975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</row>
    <row r="621" spans="1:22" x14ac:dyDescent="0.3">
      <c r="A621" t="s">
        <v>1976</v>
      </c>
      <c r="B621" s="4">
        <v>45618</v>
      </c>
      <c r="C621" s="3">
        <v>45623</v>
      </c>
      <c r="D621" s="5">
        <f t="shared" si="9"/>
        <v>5</v>
      </c>
      <c r="E621" t="s">
        <v>1977</v>
      </c>
      <c r="F621" t="s">
        <v>114</v>
      </c>
      <c r="G621" t="s">
        <v>90</v>
      </c>
      <c r="H621" t="s">
        <v>54</v>
      </c>
      <c r="I621" t="s">
        <v>248</v>
      </c>
      <c r="J621" t="s">
        <v>249</v>
      </c>
      <c r="K621" t="s">
        <v>28</v>
      </c>
      <c r="L621" t="s">
        <v>153</v>
      </c>
      <c r="M621" t="s">
        <v>1978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</row>
    <row r="622" spans="1:22" x14ac:dyDescent="0.3">
      <c r="A622" t="s">
        <v>1979</v>
      </c>
      <c r="B622" s="4">
        <v>45522</v>
      </c>
      <c r="C622" s="4">
        <v>45525</v>
      </c>
      <c r="D622" s="5">
        <f t="shared" si="9"/>
        <v>3</v>
      </c>
      <c r="E622" t="s">
        <v>1980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275</v>
      </c>
      <c r="M622" t="s">
        <v>1981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</row>
    <row r="623" spans="1:22" x14ac:dyDescent="0.3">
      <c r="A623" t="s">
        <v>1982</v>
      </c>
      <c r="B623" s="4">
        <v>45624</v>
      </c>
      <c r="C623" s="4">
        <v>45455</v>
      </c>
      <c r="D623" s="5">
        <f t="shared" si="9"/>
        <v>-169</v>
      </c>
      <c r="E623" t="s">
        <v>1983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1984</v>
      </c>
      <c r="N623" t="s">
        <v>44</v>
      </c>
      <c r="O623">
        <v>5</v>
      </c>
      <c r="P623">
        <v>1092.8399999999999</v>
      </c>
      <c r="R623">
        <v>5464.2</v>
      </c>
      <c r="S623">
        <v>3318.09</v>
      </c>
      <c r="T623">
        <v>2146.11</v>
      </c>
      <c r="U623" t="s">
        <v>32</v>
      </c>
      <c r="V623" t="s">
        <v>33</v>
      </c>
    </row>
    <row r="624" spans="1:22" x14ac:dyDescent="0.3">
      <c r="A624" t="s">
        <v>1985</v>
      </c>
      <c r="B624" s="4">
        <v>45686</v>
      </c>
      <c r="C624" s="3">
        <v>45810</v>
      </c>
      <c r="D624" s="5">
        <f t="shared" si="9"/>
        <v>124</v>
      </c>
      <c r="E624" t="s">
        <v>1986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1987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</row>
    <row r="625" spans="1:22" x14ac:dyDescent="0.3">
      <c r="A625" t="s">
        <v>1988</v>
      </c>
      <c r="B625" s="3">
        <v>45512</v>
      </c>
      <c r="C625" s="3">
        <v>45518</v>
      </c>
      <c r="D625" s="5">
        <f t="shared" si="9"/>
        <v>6</v>
      </c>
      <c r="E625" t="s">
        <v>1989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1990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</row>
    <row r="626" spans="1:22" x14ac:dyDescent="0.3">
      <c r="A626" t="s">
        <v>1991</v>
      </c>
      <c r="B626" s="4">
        <v>45321</v>
      </c>
      <c r="C626" s="4">
        <v>45293</v>
      </c>
      <c r="D626" s="5">
        <f t="shared" si="9"/>
        <v>-28</v>
      </c>
      <c r="E626" t="s">
        <v>1992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1993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</row>
    <row r="627" spans="1:22" x14ac:dyDescent="0.3">
      <c r="A627" t="s">
        <v>1994</v>
      </c>
      <c r="B627" s="4">
        <v>45641</v>
      </c>
      <c r="C627" s="3">
        <v>45647</v>
      </c>
      <c r="D627" s="5">
        <f t="shared" si="9"/>
        <v>6</v>
      </c>
      <c r="E627" t="s">
        <v>1995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1996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</row>
    <row r="628" spans="1:22" x14ac:dyDescent="0.3">
      <c r="A628" t="s">
        <v>1997</v>
      </c>
      <c r="B628" s="4">
        <v>45753</v>
      </c>
      <c r="C628" s="4">
        <v>45815</v>
      </c>
      <c r="D628" s="5">
        <f t="shared" si="9"/>
        <v>62</v>
      </c>
      <c r="E628" t="s">
        <v>1998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275</v>
      </c>
      <c r="M628" t="s">
        <v>1999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</row>
    <row r="629" spans="1:22" x14ac:dyDescent="0.3">
      <c r="A629" t="s">
        <v>2000</v>
      </c>
      <c r="B629" s="4">
        <v>45701</v>
      </c>
      <c r="C629" s="4">
        <v>45709</v>
      </c>
      <c r="D629" s="5">
        <f t="shared" si="9"/>
        <v>8</v>
      </c>
      <c r="E629" t="s">
        <v>2001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2002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</row>
    <row r="630" spans="1:22" x14ac:dyDescent="0.3">
      <c r="A630" t="s">
        <v>2003</v>
      </c>
      <c r="B630" s="4">
        <v>45787</v>
      </c>
      <c r="C630" s="3">
        <v>46001</v>
      </c>
      <c r="D630" s="5">
        <f t="shared" si="9"/>
        <v>214</v>
      </c>
      <c r="E630" t="s">
        <v>2004</v>
      </c>
      <c r="F630" t="s">
        <v>62</v>
      </c>
      <c r="G630" t="s">
        <v>95</v>
      </c>
      <c r="H630" t="s">
        <v>38</v>
      </c>
      <c r="I630" t="s">
        <v>229</v>
      </c>
      <c r="J630" t="s">
        <v>230</v>
      </c>
      <c r="K630" t="s">
        <v>74</v>
      </c>
      <c r="L630" t="s">
        <v>75</v>
      </c>
      <c r="M630" t="s">
        <v>2005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</row>
    <row r="631" spans="1:22" x14ac:dyDescent="0.3">
      <c r="A631" t="s">
        <v>2006</v>
      </c>
      <c r="B631" s="4">
        <v>45910</v>
      </c>
      <c r="C631" s="3">
        <v>45914</v>
      </c>
      <c r="D631" s="5">
        <f t="shared" si="9"/>
        <v>4</v>
      </c>
      <c r="E631" t="s">
        <v>2007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2008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</row>
    <row r="632" spans="1:22" x14ac:dyDescent="0.3">
      <c r="A632" t="s">
        <v>2009</v>
      </c>
      <c r="B632" s="4">
        <v>45539</v>
      </c>
      <c r="C632" s="4">
        <v>45569</v>
      </c>
      <c r="D632" s="5">
        <f t="shared" si="9"/>
        <v>30</v>
      </c>
      <c r="E632" t="s">
        <v>2010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2011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</row>
    <row r="633" spans="1:22" x14ac:dyDescent="0.3">
      <c r="A633" t="s">
        <v>2012</v>
      </c>
      <c r="B633" s="3">
        <v>45569</v>
      </c>
      <c r="C633" s="4">
        <v>45397</v>
      </c>
      <c r="D633" s="5">
        <f t="shared" si="9"/>
        <v>-172</v>
      </c>
      <c r="E633" t="s">
        <v>2013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2014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</row>
    <row r="634" spans="1:22" x14ac:dyDescent="0.3">
      <c r="A634" t="s">
        <v>2015</v>
      </c>
      <c r="B634" s="4">
        <v>45762</v>
      </c>
      <c r="C634" s="4">
        <v>45763</v>
      </c>
      <c r="D634" s="5">
        <f t="shared" si="9"/>
        <v>1</v>
      </c>
      <c r="E634" t="s">
        <v>2016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2017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</row>
    <row r="635" spans="1:22" x14ac:dyDescent="0.3">
      <c r="A635" t="s">
        <v>2018</v>
      </c>
      <c r="B635" s="4">
        <v>45765</v>
      </c>
      <c r="C635" s="3">
        <v>45767</v>
      </c>
      <c r="D635" s="5">
        <f t="shared" si="9"/>
        <v>2</v>
      </c>
      <c r="E635" t="s">
        <v>2019</v>
      </c>
      <c r="F635" t="s">
        <v>128</v>
      </c>
      <c r="G635" t="s">
        <v>37</v>
      </c>
      <c r="H635" t="s">
        <v>54</v>
      </c>
      <c r="I635" t="s">
        <v>248</v>
      </c>
      <c r="J635" t="s">
        <v>249</v>
      </c>
      <c r="K635" t="s">
        <v>74</v>
      </c>
      <c r="L635" t="s">
        <v>75</v>
      </c>
      <c r="M635" t="s">
        <v>2020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</row>
    <row r="636" spans="1:22" x14ac:dyDescent="0.3">
      <c r="A636" t="s">
        <v>2021</v>
      </c>
      <c r="B636" s="4">
        <v>45668</v>
      </c>
      <c r="C636" s="3">
        <v>45992</v>
      </c>
      <c r="D636" s="5">
        <f t="shared" si="9"/>
        <v>324</v>
      </c>
      <c r="E636" t="s">
        <v>2022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2023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</row>
    <row r="637" spans="1:22" x14ac:dyDescent="0.3">
      <c r="A637" t="s">
        <v>2024</v>
      </c>
      <c r="B637" s="3">
        <v>45432</v>
      </c>
      <c r="C637" s="4">
        <v>45437</v>
      </c>
      <c r="D637" s="5">
        <f t="shared" si="9"/>
        <v>5</v>
      </c>
      <c r="E637" t="s">
        <v>2025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2026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</row>
    <row r="638" spans="1:22" x14ac:dyDescent="0.3">
      <c r="A638" t="s">
        <v>2027</v>
      </c>
      <c r="B638" s="3">
        <v>45332</v>
      </c>
      <c r="C638" s="3">
        <v>45545</v>
      </c>
      <c r="D638" s="5">
        <f t="shared" si="9"/>
        <v>213</v>
      </c>
      <c r="E638" t="s">
        <v>2028</v>
      </c>
      <c r="F638" t="s">
        <v>62</v>
      </c>
      <c r="G638" t="s">
        <v>24</v>
      </c>
      <c r="H638" t="s">
        <v>54</v>
      </c>
      <c r="I638" t="s">
        <v>248</v>
      </c>
      <c r="J638" t="s">
        <v>249</v>
      </c>
      <c r="K638" t="s">
        <v>28</v>
      </c>
      <c r="L638" t="s">
        <v>29</v>
      </c>
      <c r="M638" t="s">
        <v>2029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</row>
    <row r="639" spans="1:22" x14ac:dyDescent="0.3">
      <c r="A639" t="s">
        <v>2030</v>
      </c>
      <c r="B639" s="4">
        <v>45438</v>
      </c>
      <c r="C639" s="4">
        <v>45438</v>
      </c>
      <c r="D639" s="5">
        <f t="shared" si="9"/>
        <v>0</v>
      </c>
      <c r="E639" t="s">
        <v>2031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2032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</row>
    <row r="640" spans="1:22" x14ac:dyDescent="0.3">
      <c r="A640" t="s">
        <v>2033</v>
      </c>
      <c r="B640" s="3">
        <v>45317</v>
      </c>
      <c r="C640" s="4">
        <v>45322</v>
      </c>
      <c r="D640" s="5">
        <f t="shared" si="9"/>
        <v>5</v>
      </c>
      <c r="E640" t="s">
        <v>2034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2035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</row>
    <row r="641" spans="1:22" x14ac:dyDescent="0.3">
      <c r="A641" t="s">
        <v>2036</v>
      </c>
      <c r="B641" s="4">
        <v>45653</v>
      </c>
      <c r="C641" s="4">
        <v>45657</v>
      </c>
      <c r="D641" s="5">
        <f t="shared" si="9"/>
        <v>4</v>
      </c>
      <c r="E641" t="s">
        <v>2037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2038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</row>
    <row r="642" spans="1:22" x14ac:dyDescent="0.3">
      <c r="A642" t="s">
        <v>2039</v>
      </c>
      <c r="B642" s="4">
        <v>45671</v>
      </c>
      <c r="C642" s="3">
        <v>45674</v>
      </c>
      <c r="D642" s="5">
        <f t="shared" si="9"/>
        <v>3</v>
      </c>
      <c r="E642" t="s">
        <v>2040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2041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</row>
    <row r="643" spans="1:22" x14ac:dyDescent="0.3">
      <c r="A643" t="s">
        <v>2042</v>
      </c>
      <c r="B643" s="4">
        <v>45904</v>
      </c>
      <c r="C643" s="4">
        <v>45761</v>
      </c>
      <c r="D643" s="5">
        <f t="shared" ref="D643:D706" si="10">C643-B643</f>
        <v>-143</v>
      </c>
      <c r="E643" t="s">
        <v>2043</v>
      </c>
      <c r="F643" t="s">
        <v>23</v>
      </c>
      <c r="G643" t="s">
        <v>24</v>
      </c>
      <c r="H643" t="s">
        <v>25</v>
      </c>
      <c r="I643" t="s">
        <v>351</v>
      </c>
      <c r="J643" t="s">
        <v>352</v>
      </c>
      <c r="K643" t="s">
        <v>41</v>
      </c>
      <c r="L643" t="s">
        <v>57</v>
      </c>
      <c r="M643" t="s">
        <v>2044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</row>
    <row r="644" spans="1:22" x14ac:dyDescent="0.3">
      <c r="A644" t="s">
        <v>2045</v>
      </c>
      <c r="B644" s="4">
        <v>45533</v>
      </c>
      <c r="C644" s="4">
        <v>45535</v>
      </c>
      <c r="D644" s="5">
        <f t="shared" si="10"/>
        <v>2</v>
      </c>
      <c r="E644" t="s">
        <v>2046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2047</v>
      </c>
      <c r="M644" t="s">
        <v>2048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</row>
    <row r="645" spans="1:22" x14ac:dyDescent="0.3">
      <c r="A645" t="s">
        <v>2049</v>
      </c>
      <c r="B645" s="4">
        <v>45414</v>
      </c>
      <c r="C645" s="4">
        <v>45335</v>
      </c>
      <c r="D645" s="5">
        <f t="shared" si="10"/>
        <v>-79</v>
      </c>
      <c r="E645" t="s">
        <v>731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2050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</row>
    <row r="646" spans="1:22" x14ac:dyDescent="0.3">
      <c r="A646" t="s">
        <v>2051</v>
      </c>
      <c r="B646" s="4">
        <v>45934</v>
      </c>
      <c r="C646" s="4">
        <v>45764</v>
      </c>
      <c r="D646" s="5">
        <f t="shared" si="10"/>
        <v>-170</v>
      </c>
      <c r="E646" t="s">
        <v>2052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2053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</row>
    <row r="647" spans="1:22" x14ac:dyDescent="0.3">
      <c r="A647" t="s">
        <v>2054</v>
      </c>
      <c r="B647" s="4">
        <v>45383</v>
      </c>
      <c r="C647" s="4">
        <v>45536</v>
      </c>
      <c r="D647" s="5">
        <f t="shared" si="10"/>
        <v>153</v>
      </c>
      <c r="E647" t="s">
        <v>2055</v>
      </c>
      <c r="F647" t="s">
        <v>265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2056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</row>
    <row r="648" spans="1:22" x14ac:dyDescent="0.3">
      <c r="A648" t="s">
        <v>2057</v>
      </c>
      <c r="B648" s="4">
        <v>45553</v>
      </c>
      <c r="C648" s="4">
        <v>45559</v>
      </c>
      <c r="D648" s="5">
        <f t="shared" si="10"/>
        <v>6</v>
      </c>
      <c r="E648" t="s">
        <v>2058</v>
      </c>
      <c r="F648" t="s">
        <v>71</v>
      </c>
      <c r="G648" t="s">
        <v>37</v>
      </c>
      <c r="H648" t="s">
        <v>38</v>
      </c>
      <c r="I648" t="s">
        <v>229</v>
      </c>
      <c r="J648" t="s">
        <v>230</v>
      </c>
      <c r="K648" t="s">
        <v>74</v>
      </c>
      <c r="L648" t="s">
        <v>275</v>
      </c>
      <c r="M648" t="s">
        <v>2059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</row>
    <row r="649" spans="1:22" x14ac:dyDescent="0.3">
      <c r="A649" t="s">
        <v>2060</v>
      </c>
      <c r="B649" s="4">
        <v>45658</v>
      </c>
      <c r="C649" s="4">
        <v>45901</v>
      </c>
      <c r="D649" s="5">
        <f t="shared" si="10"/>
        <v>243</v>
      </c>
      <c r="E649" t="s">
        <v>2061</v>
      </c>
      <c r="F649" t="s">
        <v>2062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2063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</row>
    <row r="650" spans="1:22" x14ac:dyDescent="0.3">
      <c r="A650" t="s">
        <v>2064</v>
      </c>
      <c r="B650" s="4">
        <v>45403</v>
      </c>
      <c r="C650" s="3">
        <v>45406</v>
      </c>
      <c r="D650" s="5">
        <f t="shared" si="10"/>
        <v>3</v>
      </c>
      <c r="E650" t="s">
        <v>2065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2066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</row>
    <row r="651" spans="1:22" x14ac:dyDescent="0.3">
      <c r="A651" t="s">
        <v>2067</v>
      </c>
      <c r="B651" s="3">
        <v>45969</v>
      </c>
      <c r="C651" s="4">
        <v>45888</v>
      </c>
      <c r="D651" s="5">
        <f t="shared" si="10"/>
        <v>-81</v>
      </c>
      <c r="E651" t="s">
        <v>2068</v>
      </c>
      <c r="F651" t="s">
        <v>265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2069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</row>
    <row r="652" spans="1:22" x14ac:dyDescent="0.3">
      <c r="A652" t="s">
        <v>2070</v>
      </c>
      <c r="B652" s="4">
        <v>45395</v>
      </c>
      <c r="C652" s="3">
        <v>45403</v>
      </c>
      <c r="D652" s="5">
        <f t="shared" si="10"/>
        <v>8</v>
      </c>
      <c r="E652" t="s">
        <v>379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2071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</row>
    <row r="653" spans="1:22" x14ac:dyDescent="0.3">
      <c r="A653" t="s">
        <v>2072</v>
      </c>
      <c r="B653" s="3">
        <v>45816</v>
      </c>
      <c r="C653" s="4">
        <v>45908</v>
      </c>
      <c r="D653" s="5">
        <f t="shared" si="10"/>
        <v>92</v>
      </c>
      <c r="E653" t="s">
        <v>2073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2074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</row>
    <row r="654" spans="1:22" x14ac:dyDescent="0.3">
      <c r="A654" t="s">
        <v>2075</v>
      </c>
      <c r="B654" s="4">
        <v>45733</v>
      </c>
      <c r="C654" s="4">
        <v>45737</v>
      </c>
      <c r="D654" s="5">
        <f t="shared" si="10"/>
        <v>4</v>
      </c>
      <c r="E654" t="s">
        <v>1714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2076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</row>
    <row r="655" spans="1:22" x14ac:dyDescent="0.3">
      <c r="A655" t="s">
        <v>2077</v>
      </c>
      <c r="B655" s="4">
        <v>45751</v>
      </c>
      <c r="C655" s="4">
        <v>45754</v>
      </c>
      <c r="D655" s="5">
        <f t="shared" si="10"/>
        <v>3</v>
      </c>
      <c r="E655" t="s">
        <v>2078</v>
      </c>
      <c r="F655" t="s">
        <v>114</v>
      </c>
      <c r="G655" t="s">
        <v>37</v>
      </c>
      <c r="H655" t="s">
        <v>54</v>
      </c>
      <c r="I655" t="s">
        <v>248</v>
      </c>
      <c r="J655" t="s">
        <v>249</v>
      </c>
      <c r="K655" t="s">
        <v>74</v>
      </c>
      <c r="L655" t="s">
        <v>80</v>
      </c>
      <c r="M655" t="s">
        <v>2079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</row>
    <row r="656" spans="1:22" x14ac:dyDescent="0.3">
      <c r="A656" t="s">
        <v>2080</v>
      </c>
      <c r="B656" s="4">
        <v>45942</v>
      </c>
      <c r="C656" s="4">
        <v>45946</v>
      </c>
      <c r="D656" s="5">
        <f t="shared" si="10"/>
        <v>4</v>
      </c>
      <c r="E656" t="s">
        <v>942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275</v>
      </c>
      <c r="M656" t="s">
        <v>2081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</row>
    <row r="657" spans="1:22" x14ac:dyDescent="0.3">
      <c r="A657" t="s">
        <v>2082</v>
      </c>
      <c r="B657" s="4">
        <v>45895</v>
      </c>
      <c r="C657" s="4">
        <v>45895</v>
      </c>
      <c r="D657" s="5">
        <f t="shared" si="10"/>
        <v>0</v>
      </c>
      <c r="E657" t="s">
        <v>2083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2084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</row>
    <row r="658" spans="1:22" x14ac:dyDescent="0.3">
      <c r="A658" t="s">
        <v>2085</v>
      </c>
      <c r="B658" s="4">
        <v>45478</v>
      </c>
      <c r="C658" s="4">
        <v>45426</v>
      </c>
      <c r="D658" s="5">
        <f t="shared" si="10"/>
        <v>-52</v>
      </c>
      <c r="E658" t="s">
        <v>2086</v>
      </c>
      <c r="F658" t="s">
        <v>79</v>
      </c>
      <c r="G658" t="s">
        <v>37</v>
      </c>
      <c r="H658" t="s">
        <v>25</v>
      </c>
      <c r="I658" t="s">
        <v>237</v>
      </c>
      <c r="J658" t="s">
        <v>238</v>
      </c>
      <c r="K658" t="s">
        <v>74</v>
      </c>
      <c r="L658" t="s">
        <v>275</v>
      </c>
      <c r="M658" t="s">
        <v>2087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</row>
    <row r="659" spans="1:22" x14ac:dyDescent="0.3">
      <c r="A659" t="s">
        <v>2088</v>
      </c>
      <c r="B659" s="4">
        <v>45876</v>
      </c>
      <c r="C659" s="4">
        <v>45938</v>
      </c>
      <c r="D659" s="5">
        <f t="shared" si="10"/>
        <v>62</v>
      </c>
      <c r="E659" t="s">
        <v>2089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2090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</row>
    <row r="660" spans="1:22" x14ac:dyDescent="0.3">
      <c r="A660" t="s">
        <v>2091</v>
      </c>
      <c r="B660" s="4">
        <v>45906</v>
      </c>
      <c r="C660" s="4">
        <v>45820</v>
      </c>
      <c r="D660" s="5">
        <f t="shared" si="10"/>
        <v>-86</v>
      </c>
      <c r="E660" t="s">
        <v>2092</v>
      </c>
      <c r="F660" t="s">
        <v>132</v>
      </c>
      <c r="G660" t="s">
        <v>24</v>
      </c>
      <c r="I660" t="s">
        <v>145</v>
      </c>
      <c r="J660" t="s">
        <v>146</v>
      </c>
      <c r="K660" t="s">
        <v>28</v>
      </c>
      <c r="L660" t="s">
        <v>48</v>
      </c>
      <c r="M660" t="s">
        <v>2093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</row>
    <row r="661" spans="1:22" x14ac:dyDescent="0.3">
      <c r="A661" t="s">
        <v>2094</v>
      </c>
      <c r="B661" s="4">
        <v>45678</v>
      </c>
      <c r="C661" s="4">
        <v>45679</v>
      </c>
      <c r="D661" s="5">
        <f t="shared" si="10"/>
        <v>1</v>
      </c>
      <c r="E661" t="s">
        <v>2095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2096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</row>
    <row r="662" spans="1:22" x14ac:dyDescent="0.3">
      <c r="A662" t="s">
        <v>2097</v>
      </c>
      <c r="B662" s="4">
        <v>45853</v>
      </c>
      <c r="C662" s="4">
        <v>45853</v>
      </c>
      <c r="D662" s="5">
        <f t="shared" si="10"/>
        <v>0</v>
      </c>
      <c r="E662" t="s">
        <v>2098</v>
      </c>
      <c r="F662" t="s">
        <v>53</v>
      </c>
      <c r="G662" t="s">
        <v>37</v>
      </c>
      <c r="H662" t="s">
        <v>38</v>
      </c>
      <c r="I662" t="s">
        <v>229</v>
      </c>
      <c r="J662" t="s">
        <v>230</v>
      </c>
      <c r="K662" t="s">
        <v>74</v>
      </c>
      <c r="L662" t="s">
        <v>171</v>
      </c>
      <c r="M662" t="s">
        <v>2099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</row>
    <row r="663" spans="1:22" x14ac:dyDescent="0.3">
      <c r="A663" t="s">
        <v>2100</v>
      </c>
      <c r="B663" s="4">
        <v>45429</v>
      </c>
      <c r="C663" s="4">
        <v>45434</v>
      </c>
      <c r="D663" s="5">
        <f t="shared" si="10"/>
        <v>5</v>
      </c>
      <c r="E663" t="s">
        <v>2101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275</v>
      </c>
      <c r="M663" t="s">
        <v>2102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</row>
    <row r="664" spans="1:22" x14ac:dyDescent="0.3">
      <c r="A664" t="s">
        <v>2103</v>
      </c>
      <c r="B664" s="4">
        <v>45305</v>
      </c>
      <c r="C664" s="4">
        <v>45309</v>
      </c>
      <c r="D664" s="5">
        <f t="shared" si="10"/>
        <v>4</v>
      </c>
      <c r="E664" t="s">
        <v>2104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275</v>
      </c>
      <c r="M664" t="s">
        <v>2105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</row>
    <row r="665" spans="1:22" x14ac:dyDescent="0.3">
      <c r="A665" t="s">
        <v>2106</v>
      </c>
      <c r="B665" s="4">
        <v>45414</v>
      </c>
      <c r="C665" s="4">
        <v>45509</v>
      </c>
      <c r="D665" s="5">
        <f t="shared" si="10"/>
        <v>95</v>
      </c>
      <c r="E665" t="s">
        <v>2107</v>
      </c>
      <c r="F665" t="s">
        <v>118</v>
      </c>
      <c r="G665" t="s">
        <v>95</v>
      </c>
      <c r="H665" t="s">
        <v>38</v>
      </c>
      <c r="I665" t="s">
        <v>229</v>
      </c>
      <c r="J665" t="s">
        <v>230</v>
      </c>
      <c r="K665" t="s">
        <v>74</v>
      </c>
      <c r="L665" t="s">
        <v>80</v>
      </c>
      <c r="M665" t="s">
        <v>2108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</row>
    <row r="666" spans="1:22" x14ac:dyDescent="0.3">
      <c r="A666" t="s">
        <v>2109</v>
      </c>
      <c r="B666" s="3">
        <v>45485</v>
      </c>
      <c r="C666" s="3">
        <v>45577</v>
      </c>
      <c r="D666" s="5">
        <f t="shared" si="10"/>
        <v>92</v>
      </c>
      <c r="E666" t="s">
        <v>2110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2111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</row>
    <row r="667" spans="1:22" x14ac:dyDescent="0.3">
      <c r="A667" t="s">
        <v>2112</v>
      </c>
      <c r="B667" s="4">
        <v>45670</v>
      </c>
      <c r="C667" s="4">
        <v>45670</v>
      </c>
      <c r="D667" s="5">
        <f t="shared" si="10"/>
        <v>0</v>
      </c>
      <c r="E667" t="s">
        <v>2113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2114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</row>
    <row r="668" spans="1:22" x14ac:dyDescent="0.3">
      <c r="A668" t="s">
        <v>2115</v>
      </c>
      <c r="B668" s="3">
        <v>45464</v>
      </c>
      <c r="C668" s="4">
        <v>45469</v>
      </c>
      <c r="D668" s="5">
        <f t="shared" si="10"/>
        <v>5</v>
      </c>
      <c r="E668" t="s">
        <v>2116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2117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</row>
    <row r="669" spans="1:22" x14ac:dyDescent="0.3">
      <c r="A669" t="s">
        <v>2118</v>
      </c>
      <c r="B669" s="4">
        <v>45797</v>
      </c>
      <c r="C669" s="4">
        <v>45804</v>
      </c>
      <c r="D669" s="5">
        <f t="shared" si="10"/>
        <v>7</v>
      </c>
      <c r="E669" t="s">
        <v>2119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275</v>
      </c>
      <c r="M669" t="s">
        <v>2120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</row>
    <row r="670" spans="1:22" x14ac:dyDescent="0.3">
      <c r="A670" t="s">
        <v>2121</v>
      </c>
      <c r="B670" s="4">
        <v>45617</v>
      </c>
      <c r="C670" s="3">
        <v>45619</v>
      </c>
      <c r="D670" s="5">
        <f t="shared" si="10"/>
        <v>2</v>
      </c>
      <c r="E670" t="s">
        <v>2122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2123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</row>
    <row r="671" spans="1:22" x14ac:dyDescent="0.3">
      <c r="A671" t="s">
        <v>2124</v>
      </c>
      <c r="B671" s="4">
        <v>45375</v>
      </c>
      <c r="C671" s="3">
        <v>45295</v>
      </c>
      <c r="D671" s="5">
        <f t="shared" si="10"/>
        <v>-80</v>
      </c>
      <c r="E671" t="s">
        <v>2125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2126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</row>
    <row r="672" spans="1:22" x14ac:dyDescent="0.3">
      <c r="A672" t="s">
        <v>2127</v>
      </c>
      <c r="B672" s="4">
        <v>45690</v>
      </c>
      <c r="C672" s="3">
        <v>45810</v>
      </c>
      <c r="D672" s="5">
        <f t="shared" si="10"/>
        <v>120</v>
      </c>
      <c r="E672" t="s">
        <v>1623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2128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</row>
    <row r="673" spans="1:22" x14ac:dyDescent="0.3">
      <c r="A673" t="s">
        <v>2129</v>
      </c>
      <c r="B673" s="4">
        <v>45373</v>
      </c>
      <c r="C673" s="4">
        <v>45378</v>
      </c>
      <c r="D673" s="5">
        <f t="shared" si="10"/>
        <v>5</v>
      </c>
      <c r="E673" t="s">
        <v>2130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2131</v>
      </c>
      <c r="M673" t="s">
        <v>2132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</row>
    <row r="674" spans="1:22" x14ac:dyDescent="0.3">
      <c r="A674" t="s">
        <v>2133</v>
      </c>
      <c r="B674" s="4">
        <v>45391</v>
      </c>
      <c r="C674" s="4">
        <v>45421</v>
      </c>
      <c r="D674" s="5">
        <f t="shared" si="10"/>
        <v>30</v>
      </c>
      <c r="E674" t="s">
        <v>2134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2135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</row>
    <row r="675" spans="1:22" x14ac:dyDescent="0.3">
      <c r="A675" t="s">
        <v>2136</v>
      </c>
      <c r="B675" s="4">
        <v>45701</v>
      </c>
      <c r="C675" s="3">
        <v>45704</v>
      </c>
      <c r="D675" s="5">
        <f t="shared" si="10"/>
        <v>3</v>
      </c>
      <c r="E675" t="s">
        <v>2137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2138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</row>
    <row r="676" spans="1:22" x14ac:dyDescent="0.3">
      <c r="A676" t="s">
        <v>2139</v>
      </c>
      <c r="B676" s="4">
        <v>45430</v>
      </c>
      <c r="C676" s="4">
        <v>45433</v>
      </c>
      <c r="D676" s="5">
        <f t="shared" si="10"/>
        <v>3</v>
      </c>
      <c r="E676" t="s">
        <v>2140</v>
      </c>
      <c r="F676" t="s">
        <v>71</v>
      </c>
      <c r="G676" t="s">
        <v>90</v>
      </c>
      <c r="H676" t="s">
        <v>38</v>
      </c>
      <c r="I676" t="s">
        <v>229</v>
      </c>
      <c r="J676" t="s">
        <v>230</v>
      </c>
      <c r="K676" t="s">
        <v>74</v>
      </c>
      <c r="L676" t="s">
        <v>75</v>
      </c>
      <c r="M676" t="s">
        <v>2141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</row>
    <row r="677" spans="1:22" x14ac:dyDescent="0.3">
      <c r="A677" t="s">
        <v>2142</v>
      </c>
      <c r="B677" s="4">
        <v>45844</v>
      </c>
      <c r="C677" s="4">
        <v>45818</v>
      </c>
      <c r="D677" s="5">
        <f t="shared" si="10"/>
        <v>-26</v>
      </c>
      <c r="E677" t="s">
        <v>2040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2143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</row>
    <row r="678" spans="1:22" x14ac:dyDescent="0.3">
      <c r="A678" t="s">
        <v>2144</v>
      </c>
      <c r="B678" s="4">
        <v>45911</v>
      </c>
      <c r="C678" s="4">
        <v>45918</v>
      </c>
      <c r="D678" s="5">
        <f t="shared" si="10"/>
        <v>7</v>
      </c>
      <c r="E678" t="s">
        <v>2145</v>
      </c>
      <c r="F678" t="s">
        <v>118</v>
      </c>
      <c r="G678" t="s">
        <v>37</v>
      </c>
      <c r="H678" t="s">
        <v>25</v>
      </c>
      <c r="I678" t="s">
        <v>351</v>
      </c>
      <c r="J678" t="s">
        <v>352</v>
      </c>
      <c r="K678" t="s">
        <v>74</v>
      </c>
      <c r="L678" t="s">
        <v>171</v>
      </c>
      <c r="M678" t="s">
        <v>2146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</row>
    <row r="679" spans="1:22" x14ac:dyDescent="0.3">
      <c r="A679" t="s">
        <v>2147</v>
      </c>
      <c r="B679" s="4">
        <v>45465</v>
      </c>
      <c r="C679" s="4">
        <v>45470</v>
      </c>
      <c r="D679" s="5">
        <f t="shared" si="10"/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2148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</row>
    <row r="680" spans="1:22" x14ac:dyDescent="0.3">
      <c r="A680" t="s">
        <v>2149</v>
      </c>
      <c r="B680" s="4">
        <v>45620</v>
      </c>
      <c r="C680" s="4">
        <v>45627</v>
      </c>
      <c r="D680" s="5">
        <f t="shared" si="10"/>
        <v>7</v>
      </c>
      <c r="E680" t="s">
        <v>2150</v>
      </c>
      <c r="F680" t="s">
        <v>265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2151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</row>
    <row r="681" spans="1:22" x14ac:dyDescent="0.3">
      <c r="A681" t="s">
        <v>2152</v>
      </c>
      <c r="B681" s="4">
        <v>45885</v>
      </c>
      <c r="C681" s="4">
        <v>45892</v>
      </c>
      <c r="D681" s="5">
        <f t="shared" si="10"/>
        <v>7</v>
      </c>
      <c r="E681" t="s">
        <v>2153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2154</v>
      </c>
      <c r="N681" t="s">
        <v>44</v>
      </c>
      <c r="O681">
        <v>4</v>
      </c>
      <c r="P681">
        <v>1410.57</v>
      </c>
      <c r="Q681" t="s">
        <v>464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</row>
    <row r="682" spans="1:22" x14ac:dyDescent="0.3">
      <c r="A682" t="s">
        <v>2155</v>
      </c>
      <c r="B682" s="3">
        <v>45441</v>
      </c>
      <c r="C682" s="3">
        <v>45418</v>
      </c>
      <c r="D682" s="5">
        <f t="shared" si="10"/>
        <v>-23</v>
      </c>
      <c r="E682" t="s">
        <v>2156</v>
      </c>
      <c r="F682" t="s">
        <v>265</v>
      </c>
      <c r="G682" t="s">
        <v>90</v>
      </c>
      <c r="H682" t="s">
        <v>54</v>
      </c>
      <c r="I682" t="s">
        <v>248</v>
      </c>
      <c r="J682" t="s">
        <v>249</v>
      </c>
      <c r="K682" t="s">
        <v>74</v>
      </c>
      <c r="L682" t="s">
        <v>75</v>
      </c>
      <c r="M682" t="s">
        <v>2157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</row>
    <row r="683" spans="1:22" x14ac:dyDescent="0.3">
      <c r="A683" t="s">
        <v>2158</v>
      </c>
      <c r="B683" s="4">
        <v>45477</v>
      </c>
      <c r="C683" s="4">
        <v>45572</v>
      </c>
      <c r="D683" s="5">
        <f t="shared" si="10"/>
        <v>95</v>
      </c>
      <c r="E683" t="s">
        <v>2159</v>
      </c>
      <c r="F683" t="s">
        <v>71</v>
      </c>
      <c r="G683" t="s">
        <v>90</v>
      </c>
      <c r="H683" t="s">
        <v>25</v>
      </c>
      <c r="I683" t="s">
        <v>351</v>
      </c>
      <c r="J683" t="s">
        <v>352</v>
      </c>
      <c r="K683" t="s">
        <v>41</v>
      </c>
      <c r="L683" t="s">
        <v>42</v>
      </c>
      <c r="M683" t="s">
        <v>2160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</row>
    <row r="684" spans="1:22" x14ac:dyDescent="0.3">
      <c r="A684" t="s">
        <v>2161</v>
      </c>
      <c r="B684" s="3">
        <v>45779</v>
      </c>
      <c r="C684" s="4">
        <v>45779</v>
      </c>
      <c r="D684" s="5">
        <f t="shared" si="10"/>
        <v>0</v>
      </c>
      <c r="E684" t="s">
        <v>2162</v>
      </c>
      <c r="F684" t="s">
        <v>2163</v>
      </c>
      <c r="G684" t="s">
        <v>90</v>
      </c>
      <c r="H684" t="s">
        <v>25</v>
      </c>
      <c r="I684" t="s">
        <v>237</v>
      </c>
      <c r="J684" t="s">
        <v>238</v>
      </c>
      <c r="K684" t="s">
        <v>28</v>
      </c>
      <c r="L684" t="s">
        <v>124</v>
      </c>
      <c r="M684" t="s">
        <v>2164</v>
      </c>
      <c r="N684" t="s">
        <v>44</v>
      </c>
      <c r="O684">
        <v>3</v>
      </c>
      <c r="P684">
        <v>2590.7800000000002</v>
      </c>
      <c r="R684">
        <v>7383.72</v>
      </c>
      <c r="S684">
        <v>4113.66</v>
      </c>
      <c r="T684">
        <v>3270.06</v>
      </c>
      <c r="U684" t="s">
        <v>32</v>
      </c>
      <c r="V684" t="s">
        <v>33</v>
      </c>
    </row>
    <row r="685" spans="1:22" x14ac:dyDescent="0.3">
      <c r="A685" t="s">
        <v>2165</v>
      </c>
      <c r="B685" s="4">
        <v>45858</v>
      </c>
      <c r="C685" s="4">
        <v>45862</v>
      </c>
      <c r="D685" s="5">
        <f t="shared" si="10"/>
        <v>4</v>
      </c>
      <c r="E685" t="s">
        <v>2166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2167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</row>
    <row r="686" spans="1:22" x14ac:dyDescent="0.3">
      <c r="A686" t="s">
        <v>2168</v>
      </c>
      <c r="B686" s="4">
        <v>45859</v>
      </c>
      <c r="C686" s="4">
        <v>45859</v>
      </c>
      <c r="D686" s="5">
        <f t="shared" si="10"/>
        <v>0</v>
      </c>
      <c r="E686" t="s">
        <v>2169</v>
      </c>
      <c r="F686" t="s">
        <v>47</v>
      </c>
      <c r="G686" t="s">
        <v>95</v>
      </c>
      <c r="H686" t="s">
        <v>54</v>
      </c>
      <c r="I686" t="s">
        <v>248</v>
      </c>
      <c r="J686" t="s">
        <v>249</v>
      </c>
      <c r="K686" t="s">
        <v>41</v>
      </c>
      <c r="L686" t="s">
        <v>158</v>
      </c>
      <c r="M686" t="s">
        <v>2170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</row>
    <row r="687" spans="1:22" x14ac:dyDescent="0.3">
      <c r="A687" t="s">
        <v>2171</v>
      </c>
      <c r="B687" s="3">
        <v>45667</v>
      </c>
      <c r="C687" s="4">
        <v>45726</v>
      </c>
      <c r="D687" s="5">
        <f t="shared" si="10"/>
        <v>59</v>
      </c>
      <c r="E687" t="s">
        <v>1833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2172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</row>
    <row r="688" spans="1:22" x14ac:dyDescent="0.3">
      <c r="A688" t="s">
        <v>2173</v>
      </c>
      <c r="B688" s="4">
        <v>45376</v>
      </c>
      <c r="C688" s="4">
        <v>45384</v>
      </c>
      <c r="D688" s="5">
        <f t="shared" si="10"/>
        <v>8</v>
      </c>
      <c r="E688" t="s">
        <v>2174</v>
      </c>
      <c r="F688" t="s">
        <v>132</v>
      </c>
      <c r="G688" t="s">
        <v>95</v>
      </c>
      <c r="H688" t="s">
        <v>54</v>
      </c>
      <c r="I688" t="s">
        <v>248</v>
      </c>
      <c r="J688" t="s">
        <v>249</v>
      </c>
      <c r="K688" t="s">
        <v>74</v>
      </c>
      <c r="L688" t="s">
        <v>80</v>
      </c>
      <c r="M688" t="s">
        <v>2175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</row>
    <row r="689" spans="1:22" x14ac:dyDescent="0.3">
      <c r="A689" t="s">
        <v>2176</v>
      </c>
      <c r="B689" s="3">
        <v>45879</v>
      </c>
      <c r="C689" s="4">
        <v>45943</v>
      </c>
      <c r="D689" s="5">
        <f t="shared" si="10"/>
        <v>64</v>
      </c>
      <c r="E689" t="s">
        <v>2177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2178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</row>
    <row r="690" spans="1:22" x14ac:dyDescent="0.3">
      <c r="A690" t="s">
        <v>2179</v>
      </c>
      <c r="B690" s="3">
        <v>45714</v>
      </c>
      <c r="C690" s="3">
        <v>45715</v>
      </c>
      <c r="D690" s="5">
        <f t="shared" si="10"/>
        <v>1</v>
      </c>
      <c r="E690" t="s">
        <v>2180</v>
      </c>
      <c r="F690" t="s">
        <v>79</v>
      </c>
      <c r="G690" t="s">
        <v>95</v>
      </c>
      <c r="H690" t="s">
        <v>25</v>
      </c>
      <c r="I690" t="s">
        <v>237</v>
      </c>
      <c r="J690" t="s">
        <v>238</v>
      </c>
      <c r="K690" t="s">
        <v>28</v>
      </c>
      <c r="L690" t="s">
        <v>48</v>
      </c>
      <c r="M690" t="s">
        <v>2181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</row>
    <row r="691" spans="1:22" x14ac:dyDescent="0.3">
      <c r="A691" t="s">
        <v>2182</v>
      </c>
      <c r="B691" s="4">
        <v>45422</v>
      </c>
      <c r="C691" s="3">
        <v>45453</v>
      </c>
      <c r="D691" s="5">
        <f t="shared" si="10"/>
        <v>31</v>
      </c>
      <c r="E691" t="s">
        <v>2183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2184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</row>
    <row r="692" spans="1:22" x14ac:dyDescent="0.3">
      <c r="A692" t="s">
        <v>2185</v>
      </c>
      <c r="B692" s="4">
        <v>45546</v>
      </c>
      <c r="C692" s="4">
        <v>45550</v>
      </c>
      <c r="D692" s="5">
        <f t="shared" si="10"/>
        <v>4</v>
      </c>
      <c r="E692" t="s">
        <v>2186</v>
      </c>
      <c r="F692" t="s">
        <v>132</v>
      </c>
      <c r="G692" t="s">
        <v>90</v>
      </c>
      <c r="H692" t="s">
        <v>54</v>
      </c>
      <c r="I692" t="s">
        <v>248</v>
      </c>
      <c r="J692" t="s">
        <v>249</v>
      </c>
      <c r="K692" t="s">
        <v>28</v>
      </c>
      <c r="L692" t="s">
        <v>48</v>
      </c>
      <c r="M692" t="s">
        <v>2187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</row>
    <row r="693" spans="1:22" x14ac:dyDescent="0.3">
      <c r="A693" t="s">
        <v>2188</v>
      </c>
      <c r="B693" s="4">
        <v>45641</v>
      </c>
      <c r="C693" s="4">
        <v>45642</v>
      </c>
      <c r="D693" s="5">
        <f t="shared" si="10"/>
        <v>1</v>
      </c>
      <c r="E693" t="s">
        <v>2189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2190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</row>
    <row r="694" spans="1:22" x14ac:dyDescent="0.3">
      <c r="A694" t="s">
        <v>2191</v>
      </c>
      <c r="B694" s="4">
        <v>45787</v>
      </c>
      <c r="C694" s="4">
        <v>45940</v>
      </c>
      <c r="D694" s="5">
        <f t="shared" si="10"/>
        <v>153</v>
      </c>
      <c r="E694" t="s">
        <v>2192</v>
      </c>
      <c r="F694" t="s">
        <v>47</v>
      </c>
      <c r="G694" t="s">
        <v>1185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2193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</row>
    <row r="695" spans="1:22" x14ac:dyDescent="0.3">
      <c r="A695" t="s">
        <v>2194</v>
      </c>
      <c r="B695" s="4">
        <v>45720</v>
      </c>
      <c r="C695" s="4">
        <v>45965</v>
      </c>
      <c r="D695" s="5">
        <f t="shared" si="10"/>
        <v>245</v>
      </c>
      <c r="E695" t="s">
        <v>2195</v>
      </c>
      <c r="F695" t="s">
        <v>53</v>
      </c>
      <c r="G695" t="s">
        <v>24</v>
      </c>
      <c r="H695" t="s">
        <v>54</v>
      </c>
      <c r="I695" t="s">
        <v>248</v>
      </c>
      <c r="J695" t="s">
        <v>249</v>
      </c>
      <c r="K695" t="s">
        <v>41</v>
      </c>
      <c r="L695" t="s">
        <v>158</v>
      </c>
      <c r="M695" t="s">
        <v>2196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</row>
    <row r="696" spans="1:22" x14ac:dyDescent="0.3">
      <c r="A696" t="s">
        <v>2197</v>
      </c>
      <c r="B696" s="4">
        <v>45665</v>
      </c>
      <c r="C696" s="4">
        <v>45908</v>
      </c>
      <c r="D696" s="5">
        <f t="shared" si="10"/>
        <v>243</v>
      </c>
      <c r="E696" t="s">
        <v>1154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2198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</row>
    <row r="697" spans="1:22" x14ac:dyDescent="0.3">
      <c r="A697" t="s">
        <v>2199</v>
      </c>
      <c r="B697" s="4">
        <v>45298</v>
      </c>
      <c r="C697" s="4">
        <v>45298</v>
      </c>
      <c r="D697" s="5">
        <f t="shared" si="10"/>
        <v>0</v>
      </c>
      <c r="E697" t="s">
        <v>2200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275</v>
      </c>
      <c r="M697" t="s">
        <v>2201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</row>
    <row r="698" spans="1:22" x14ac:dyDescent="0.3">
      <c r="A698" t="s">
        <v>2202</v>
      </c>
      <c r="B698" s="3">
        <v>45922</v>
      </c>
      <c r="C698" s="3">
        <v>45925</v>
      </c>
      <c r="D698" s="5">
        <f t="shared" si="10"/>
        <v>3</v>
      </c>
      <c r="E698" t="s">
        <v>2203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2204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</row>
    <row r="699" spans="1:22" x14ac:dyDescent="0.3">
      <c r="A699" t="s">
        <v>2205</v>
      </c>
      <c r="B699" s="4">
        <v>45717</v>
      </c>
      <c r="C699" s="4">
        <v>45841</v>
      </c>
      <c r="D699" s="5">
        <f t="shared" si="10"/>
        <v>124</v>
      </c>
      <c r="E699" t="s">
        <v>2206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2207</v>
      </c>
      <c r="N699" t="s">
        <v>50</v>
      </c>
      <c r="O699">
        <v>7</v>
      </c>
      <c r="P699">
        <v>567.15</v>
      </c>
      <c r="R699">
        <v>2977.54</v>
      </c>
      <c r="S699">
        <v>1849.3</v>
      </c>
      <c r="T699">
        <v>1128.24</v>
      </c>
      <c r="U699" t="s">
        <v>102</v>
      </c>
      <c r="V699" t="s">
        <v>103</v>
      </c>
    </row>
    <row r="700" spans="1:22" x14ac:dyDescent="0.3">
      <c r="A700" t="s">
        <v>2208</v>
      </c>
      <c r="B700" s="4">
        <v>45549</v>
      </c>
      <c r="C700" s="4">
        <v>45549</v>
      </c>
      <c r="D700" s="5">
        <f t="shared" si="10"/>
        <v>0</v>
      </c>
      <c r="E700" t="s">
        <v>2209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275</v>
      </c>
      <c r="M700" t="s">
        <v>2210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</row>
    <row r="701" spans="1:22" x14ac:dyDescent="0.3">
      <c r="A701" t="s">
        <v>2211</v>
      </c>
      <c r="B701" s="4">
        <v>45602</v>
      </c>
      <c r="C701" s="3">
        <v>45602</v>
      </c>
      <c r="D701" s="5">
        <f t="shared" si="10"/>
        <v>0</v>
      </c>
      <c r="E701" t="s">
        <v>2212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2213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</row>
    <row r="702" spans="1:22" x14ac:dyDescent="0.3">
      <c r="A702" t="s">
        <v>2214</v>
      </c>
      <c r="B702" s="4">
        <v>45553</v>
      </c>
      <c r="C702" s="4">
        <v>45556</v>
      </c>
      <c r="D702" s="5">
        <f t="shared" si="10"/>
        <v>3</v>
      </c>
      <c r="E702" t="s">
        <v>2215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275</v>
      </c>
      <c r="M702" t="s">
        <v>2216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</row>
    <row r="703" spans="1:22" x14ac:dyDescent="0.3">
      <c r="A703" t="s">
        <v>2217</v>
      </c>
      <c r="B703" s="4">
        <v>45412</v>
      </c>
      <c r="C703" s="3">
        <v>45387</v>
      </c>
      <c r="D703" s="5">
        <f t="shared" si="10"/>
        <v>-25</v>
      </c>
      <c r="E703" t="s">
        <v>2218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2219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</row>
    <row r="704" spans="1:22" x14ac:dyDescent="0.3">
      <c r="A704" t="s">
        <v>2220</v>
      </c>
      <c r="B704" s="4">
        <v>45690</v>
      </c>
      <c r="C704" s="4">
        <v>45694</v>
      </c>
      <c r="D704" s="5">
        <f t="shared" si="10"/>
        <v>4</v>
      </c>
      <c r="E704" t="s">
        <v>2221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2222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</row>
    <row r="705" spans="1:22" x14ac:dyDescent="0.3">
      <c r="A705" t="s">
        <v>2223</v>
      </c>
      <c r="B705" s="3">
        <v>45584</v>
      </c>
      <c r="C705" s="4">
        <v>45585</v>
      </c>
      <c r="D705" s="5">
        <f t="shared" si="10"/>
        <v>1</v>
      </c>
      <c r="E705" t="s">
        <v>2224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2225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</row>
    <row r="706" spans="1:22" x14ac:dyDescent="0.3">
      <c r="A706" t="s">
        <v>2226</v>
      </c>
      <c r="B706" s="4">
        <v>45364</v>
      </c>
      <c r="C706" s="4">
        <v>45371</v>
      </c>
      <c r="D706" s="5">
        <f t="shared" si="10"/>
        <v>7</v>
      </c>
      <c r="E706" t="s">
        <v>2227</v>
      </c>
      <c r="F706" t="s">
        <v>114</v>
      </c>
      <c r="G706" t="s">
        <v>95</v>
      </c>
      <c r="H706" t="s">
        <v>54</v>
      </c>
      <c r="I706" t="s">
        <v>248</v>
      </c>
      <c r="J706" t="s">
        <v>249</v>
      </c>
      <c r="K706" t="s">
        <v>41</v>
      </c>
      <c r="L706" t="s">
        <v>158</v>
      </c>
      <c r="M706" t="s">
        <v>2228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</row>
    <row r="707" spans="1:22" x14ac:dyDescent="0.3">
      <c r="A707" t="s">
        <v>2229</v>
      </c>
      <c r="B707" s="3">
        <v>45513</v>
      </c>
      <c r="C707" s="4">
        <v>45549</v>
      </c>
      <c r="D707" s="5">
        <f t="shared" ref="D707:D770" si="11">C707-B707</f>
        <v>36</v>
      </c>
      <c r="E707" t="s">
        <v>2230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2231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</row>
    <row r="708" spans="1:22" x14ac:dyDescent="0.3">
      <c r="A708" t="s">
        <v>2232</v>
      </c>
      <c r="B708" s="4">
        <v>45467</v>
      </c>
      <c r="C708" s="4">
        <v>45471</v>
      </c>
      <c r="D708" s="5">
        <f t="shared" si="11"/>
        <v>4</v>
      </c>
      <c r="E708" t="s">
        <v>2233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2234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</row>
    <row r="709" spans="1:22" x14ac:dyDescent="0.3">
      <c r="A709" t="s">
        <v>2235</v>
      </c>
      <c r="B709" s="4">
        <v>45832</v>
      </c>
      <c r="C709" s="4">
        <v>45834</v>
      </c>
      <c r="D709" s="5">
        <f t="shared" si="11"/>
        <v>2</v>
      </c>
      <c r="E709" t="s">
        <v>2236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2237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</row>
    <row r="710" spans="1:22" x14ac:dyDescent="0.3">
      <c r="A710" t="s">
        <v>2238</v>
      </c>
      <c r="B710" s="4">
        <v>45736</v>
      </c>
      <c r="C710" s="4">
        <v>45742</v>
      </c>
      <c r="D710" s="5">
        <f t="shared" si="11"/>
        <v>6</v>
      </c>
      <c r="E710" t="s">
        <v>2239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2240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</row>
    <row r="711" spans="1:22" x14ac:dyDescent="0.3">
      <c r="A711" t="s">
        <v>2241</v>
      </c>
      <c r="B711" s="3">
        <v>45676</v>
      </c>
      <c r="C711" s="3">
        <v>45680</v>
      </c>
      <c r="D711" s="5">
        <f t="shared" si="11"/>
        <v>4</v>
      </c>
      <c r="E711" t="s">
        <v>2242</v>
      </c>
      <c r="F711" t="s">
        <v>265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2243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</row>
    <row r="712" spans="1:22" x14ac:dyDescent="0.3">
      <c r="A712" t="s">
        <v>2244</v>
      </c>
      <c r="B712" s="4">
        <v>45485</v>
      </c>
      <c r="C712" s="4">
        <v>45492</v>
      </c>
      <c r="D712" s="5">
        <f t="shared" si="11"/>
        <v>7</v>
      </c>
      <c r="E712" t="s">
        <v>2245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2246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</row>
    <row r="713" spans="1:22" x14ac:dyDescent="0.3">
      <c r="A713" t="s">
        <v>2247</v>
      </c>
      <c r="B713" s="4">
        <v>45690</v>
      </c>
      <c r="C713" s="4">
        <v>45690</v>
      </c>
      <c r="D713" s="5">
        <f t="shared" si="11"/>
        <v>0</v>
      </c>
      <c r="E713" t="s">
        <v>2248</v>
      </c>
      <c r="F713" t="s">
        <v>265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275</v>
      </c>
      <c r="M713" t="s">
        <v>2249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</row>
    <row r="714" spans="1:22" x14ac:dyDescent="0.3">
      <c r="A714" t="s">
        <v>2250</v>
      </c>
      <c r="B714" s="3">
        <v>45567</v>
      </c>
      <c r="C714" s="3">
        <v>45340</v>
      </c>
      <c r="D714" s="5">
        <f t="shared" si="11"/>
        <v>-227</v>
      </c>
      <c r="E714" t="s">
        <v>2251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2252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</row>
    <row r="715" spans="1:22" x14ac:dyDescent="0.3">
      <c r="A715" t="s">
        <v>2253</v>
      </c>
      <c r="B715" s="4">
        <v>45814</v>
      </c>
      <c r="C715" s="4">
        <v>45818</v>
      </c>
      <c r="D715" s="5">
        <f t="shared" si="11"/>
        <v>4</v>
      </c>
      <c r="E715" t="s">
        <v>606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275</v>
      </c>
      <c r="M715" t="s">
        <v>2254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</row>
    <row r="716" spans="1:22" x14ac:dyDescent="0.3">
      <c r="A716" t="s">
        <v>2255</v>
      </c>
      <c r="B716" s="3">
        <v>45738</v>
      </c>
      <c r="C716" s="4">
        <v>45739</v>
      </c>
      <c r="D716" s="5">
        <f t="shared" si="11"/>
        <v>1</v>
      </c>
      <c r="E716" t="s">
        <v>2256</v>
      </c>
      <c r="F716" t="s">
        <v>23</v>
      </c>
      <c r="G716" t="s">
        <v>95</v>
      </c>
      <c r="H716" t="s">
        <v>25</v>
      </c>
      <c r="I716" t="s">
        <v>351</v>
      </c>
      <c r="J716" t="s">
        <v>352</v>
      </c>
      <c r="K716" t="s">
        <v>74</v>
      </c>
      <c r="L716" t="s">
        <v>80</v>
      </c>
      <c r="M716" t="s">
        <v>2257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</row>
    <row r="717" spans="1:22" x14ac:dyDescent="0.3">
      <c r="A717" t="s">
        <v>2258</v>
      </c>
      <c r="B717" s="4">
        <v>45891</v>
      </c>
      <c r="C717" s="3">
        <v>45896</v>
      </c>
      <c r="D717" s="5">
        <f t="shared" si="11"/>
        <v>5</v>
      </c>
      <c r="E717" t="s">
        <v>2259</v>
      </c>
      <c r="F717" t="s">
        <v>114</v>
      </c>
      <c r="G717" t="s">
        <v>24</v>
      </c>
      <c r="H717" t="s">
        <v>25</v>
      </c>
      <c r="I717" t="s">
        <v>237</v>
      </c>
      <c r="J717" t="s">
        <v>238</v>
      </c>
      <c r="K717" t="s">
        <v>41</v>
      </c>
      <c r="L717" t="s">
        <v>66</v>
      </c>
      <c r="M717" t="s">
        <v>2260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</row>
    <row r="718" spans="1:22" x14ac:dyDescent="0.3">
      <c r="A718" t="s">
        <v>2261</v>
      </c>
      <c r="B718" s="3">
        <v>45895</v>
      </c>
      <c r="C718" s="4">
        <v>45900</v>
      </c>
      <c r="D718" s="5">
        <f t="shared" si="11"/>
        <v>5</v>
      </c>
      <c r="E718" t="s">
        <v>2262</v>
      </c>
      <c r="F718" t="s">
        <v>162</v>
      </c>
      <c r="G718" t="s">
        <v>37</v>
      </c>
      <c r="H718" t="s">
        <v>25</v>
      </c>
      <c r="I718" t="s">
        <v>237</v>
      </c>
      <c r="J718" t="s">
        <v>238</v>
      </c>
      <c r="K718" t="s">
        <v>74</v>
      </c>
      <c r="L718" t="s">
        <v>171</v>
      </c>
      <c r="M718" t="s">
        <v>2263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</row>
    <row r="719" spans="1:22" x14ac:dyDescent="0.3">
      <c r="A719" t="s">
        <v>2264</v>
      </c>
      <c r="B719" s="4">
        <v>46001</v>
      </c>
      <c r="C719" s="3">
        <v>45945</v>
      </c>
      <c r="D719" s="5">
        <f t="shared" si="11"/>
        <v>-56</v>
      </c>
      <c r="E719" t="s">
        <v>2265</v>
      </c>
      <c r="F719" t="s">
        <v>265</v>
      </c>
      <c r="G719" t="s">
        <v>37</v>
      </c>
      <c r="H719" t="s">
        <v>25</v>
      </c>
      <c r="I719" t="s">
        <v>237</v>
      </c>
      <c r="J719" t="s">
        <v>238</v>
      </c>
      <c r="K719" t="s">
        <v>74</v>
      </c>
      <c r="L719" t="s">
        <v>275</v>
      </c>
      <c r="M719" t="s">
        <v>2266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</row>
    <row r="720" spans="1:22" x14ac:dyDescent="0.3">
      <c r="A720" t="s">
        <v>2267</v>
      </c>
      <c r="B720" s="3">
        <v>45452</v>
      </c>
      <c r="C720" s="4">
        <v>45544</v>
      </c>
      <c r="D720" s="5">
        <f t="shared" si="11"/>
        <v>92</v>
      </c>
      <c r="E720" t="s">
        <v>2268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2269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</row>
    <row r="721" spans="1:22" x14ac:dyDescent="0.3">
      <c r="A721" t="s">
        <v>2270</v>
      </c>
      <c r="B721" s="3">
        <v>45878</v>
      </c>
      <c r="C721" s="4">
        <v>45909</v>
      </c>
      <c r="D721" s="5">
        <f t="shared" si="11"/>
        <v>31</v>
      </c>
      <c r="E721" t="s">
        <v>144</v>
      </c>
      <c r="F721" t="s">
        <v>265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2271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</row>
    <row r="722" spans="1:22" x14ac:dyDescent="0.3">
      <c r="A722" t="s">
        <v>2272</v>
      </c>
      <c r="B722" s="4">
        <v>45489</v>
      </c>
      <c r="C722" s="4">
        <v>45489</v>
      </c>
      <c r="D722" s="5">
        <f t="shared" si="11"/>
        <v>0</v>
      </c>
      <c r="E722" t="s">
        <v>2273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2274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</row>
    <row r="723" spans="1:22" x14ac:dyDescent="0.3">
      <c r="A723" t="s">
        <v>2275</v>
      </c>
      <c r="B723" s="4">
        <v>45827</v>
      </c>
      <c r="C723" s="4">
        <v>45831</v>
      </c>
      <c r="D723" s="5">
        <f t="shared" si="11"/>
        <v>4</v>
      </c>
      <c r="E723" t="s">
        <v>2276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2277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</row>
    <row r="724" spans="1:22" x14ac:dyDescent="0.3">
      <c r="A724" t="s">
        <v>2278</v>
      </c>
      <c r="B724" s="4">
        <v>45483</v>
      </c>
      <c r="C724" s="3">
        <v>45575</v>
      </c>
      <c r="D724" s="5">
        <f t="shared" si="11"/>
        <v>92</v>
      </c>
      <c r="E724" t="s">
        <v>2279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2280</v>
      </c>
      <c r="N724" t="s">
        <v>31</v>
      </c>
      <c r="O724">
        <v>9</v>
      </c>
      <c r="P724">
        <v>481.51</v>
      </c>
      <c r="R724">
        <v>4333.59</v>
      </c>
      <c r="S724">
        <v>2533.59</v>
      </c>
      <c r="T724">
        <v>1800</v>
      </c>
      <c r="U724" t="s">
        <v>102</v>
      </c>
      <c r="V724" t="s">
        <v>68</v>
      </c>
    </row>
    <row r="725" spans="1:22" x14ac:dyDescent="0.3">
      <c r="A725" t="s">
        <v>2281</v>
      </c>
      <c r="B725" s="4">
        <v>45936</v>
      </c>
      <c r="C725" s="4">
        <v>45943</v>
      </c>
      <c r="D725" s="5">
        <f t="shared" si="11"/>
        <v>7</v>
      </c>
      <c r="E725" t="s">
        <v>2282</v>
      </c>
      <c r="F725" t="s">
        <v>265</v>
      </c>
      <c r="G725" t="s">
        <v>95</v>
      </c>
      <c r="H725" t="s">
        <v>38</v>
      </c>
      <c r="I725" t="s">
        <v>229</v>
      </c>
      <c r="J725" t="s">
        <v>230</v>
      </c>
      <c r="K725" t="s">
        <v>74</v>
      </c>
      <c r="L725" t="s">
        <v>75</v>
      </c>
      <c r="M725" t="s">
        <v>2283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</row>
    <row r="726" spans="1:22" x14ac:dyDescent="0.3">
      <c r="A726" t="s">
        <v>2284</v>
      </c>
      <c r="B726" s="4">
        <v>45332</v>
      </c>
      <c r="C726" s="4">
        <v>45338</v>
      </c>
      <c r="D726" s="5">
        <f t="shared" si="11"/>
        <v>6</v>
      </c>
      <c r="E726" t="s">
        <v>2285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2286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</row>
    <row r="727" spans="1:22" x14ac:dyDescent="0.3">
      <c r="A727" t="s">
        <v>2287</v>
      </c>
      <c r="B727" s="4">
        <v>45935</v>
      </c>
      <c r="C727" s="4">
        <v>46001</v>
      </c>
      <c r="D727" s="5">
        <f t="shared" si="11"/>
        <v>66</v>
      </c>
      <c r="E727" t="s">
        <v>2288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2289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</row>
    <row r="728" spans="1:22" x14ac:dyDescent="0.3">
      <c r="A728" t="s">
        <v>2290</v>
      </c>
      <c r="B728" s="4">
        <v>45308</v>
      </c>
      <c r="C728" s="4">
        <v>45314</v>
      </c>
      <c r="D728" s="5">
        <f t="shared" si="11"/>
        <v>6</v>
      </c>
      <c r="E728" t="s">
        <v>2291</v>
      </c>
      <c r="F728" t="s">
        <v>265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2292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</row>
    <row r="729" spans="1:22" x14ac:dyDescent="0.3">
      <c r="A729" t="s">
        <v>2293</v>
      </c>
      <c r="B729" s="3">
        <v>45578</v>
      </c>
      <c r="C729" s="3">
        <v>45578</v>
      </c>
      <c r="D729" s="5">
        <f t="shared" si="11"/>
        <v>0</v>
      </c>
      <c r="E729" t="s">
        <v>2294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2295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</row>
    <row r="730" spans="1:22" x14ac:dyDescent="0.3">
      <c r="A730" t="s">
        <v>2296</v>
      </c>
      <c r="B730" s="4">
        <v>45383</v>
      </c>
      <c r="C730" s="4">
        <v>45474</v>
      </c>
      <c r="D730" s="5">
        <f t="shared" si="11"/>
        <v>91</v>
      </c>
      <c r="E730" t="s">
        <v>2297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275</v>
      </c>
      <c r="M730" t="s">
        <v>2298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</row>
    <row r="731" spans="1:22" x14ac:dyDescent="0.3">
      <c r="A731" t="s">
        <v>2299</v>
      </c>
      <c r="B731" s="4">
        <v>45794</v>
      </c>
      <c r="C731" s="3">
        <v>45802</v>
      </c>
      <c r="D731" s="5">
        <f t="shared" si="11"/>
        <v>8</v>
      </c>
      <c r="E731" t="s">
        <v>2300</v>
      </c>
      <c r="F731" t="s">
        <v>62</v>
      </c>
      <c r="G731" t="s">
        <v>90</v>
      </c>
      <c r="H731" t="s">
        <v>54</v>
      </c>
      <c r="I731" t="s">
        <v>248</v>
      </c>
      <c r="J731" t="s">
        <v>249</v>
      </c>
      <c r="K731" t="s">
        <v>74</v>
      </c>
      <c r="L731" t="s">
        <v>275</v>
      </c>
      <c r="M731" t="s">
        <v>2301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</row>
    <row r="732" spans="1:22" x14ac:dyDescent="0.3">
      <c r="A732" t="s">
        <v>2302</v>
      </c>
      <c r="B732" s="4">
        <v>45827</v>
      </c>
      <c r="C732" s="4">
        <v>45832</v>
      </c>
      <c r="D732" s="5">
        <f t="shared" si="11"/>
        <v>5</v>
      </c>
      <c r="E732" t="s">
        <v>2303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2304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</row>
    <row r="733" spans="1:22" x14ac:dyDescent="0.3">
      <c r="A733" t="s">
        <v>2305</v>
      </c>
      <c r="B733" s="4">
        <v>45368</v>
      </c>
      <c r="C733" s="3">
        <v>45370</v>
      </c>
      <c r="D733" s="5">
        <f t="shared" si="11"/>
        <v>2</v>
      </c>
      <c r="E733" t="s">
        <v>2306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2307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</row>
    <row r="734" spans="1:22" x14ac:dyDescent="0.3">
      <c r="A734" t="s">
        <v>2308</v>
      </c>
      <c r="B734" s="4">
        <v>45624</v>
      </c>
      <c r="C734" s="3">
        <v>45455</v>
      </c>
      <c r="D734" s="5">
        <f t="shared" si="11"/>
        <v>-169</v>
      </c>
      <c r="E734" t="s">
        <v>2309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2310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</row>
    <row r="735" spans="1:22" x14ac:dyDescent="0.3">
      <c r="A735" t="s">
        <v>2311</v>
      </c>
      <c r="B735" s="4">
        <v>45464</v>
      </c>
      <c r="C735" s="3">
        <v>45471</v>
      </c>
      <c r="D735" s="5">
        <f t="shared" si="11"/>
        <v>7</v>
      </c>
      <c r="E735" t="s">
        <v>2312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2313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</row>
    <row r="736" spans="1:22" x14ac:dyDescent="0.3">
      <c r="A736" t="s">
        <v>2314</v>
      </c>
      <c r="B736" s="4">
        <v>45528</v>
      </c>
      <c r="C736" s="4">
        <v>45528</v>
      </c>
      <c r="D736" s="5">
        <f t="shared" si="11"/>
        <v>0</v>
      </c>
      <c r="E736" t="s">
        <v>2315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2316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</row>
    <row r="737" spans="1:22" x14ac:dyDescent="0.3">
      <c r="A737" t="s">
        <v>2317</v>
      </c>
      <c r="B737" s="4">
        <v>45604</v>
      </c>
      <c r="C737" s="4">
        <v>45523</v>
      </c>
      <c r="D737" s="5">
        <f t="shared" si="11"/>
        <v>-81</v>
      </c>
      <c r="E737" t="s">
        <v>2318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2319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</row>
    <row r="738" spans="1:22" x14ac:dyDescent="0.3">
      <c r="A738" t="s">
        <v>2320</v>
      </c>
      <c r="B738" s="3">
        <v>45455</v>
      </c>
      <c r="C738" s="4">
        <v>45547</v>
      </c>
      <c r="D738" s="5">
        <f t="shared" si="11"/>
        <v>92</v>
      </c>
      <c r="E738" t="s">
        <v>2321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2322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</row>
    <row r="739" spans="1:22" x14ac:dyDescent="0.3">
      <c r="A739" t="s">
        <v>2323</v>
      </c>
      <c r="B739" s="4">
        <v>45567</v>
      </c>
      <c r="C739" s="3">
        <v>45567</v>
      </c>
      <c r="D739" s="5">
        <f t="shared" si="11"/>
        <v>0</v>
      </c>
      <c r="E739" t="s">
        <v>2324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2325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</row>
    <row r="740" spans="1:22" x14ac:dyDescent="0.3">
      <c r="A740" t="s">
        <v>2326</v>
      </c>
      <c r="B740" s="3">
        <v>45708</v>
      </c>
      <c r="C740" s="4">
        <v>45710</v>
      </c>
      <c r="D740" s="5">
        <f t="shared" si="11"/>
        <v>2</v>
      </c>
      <c r="E740" t="s">
        <v>2327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2328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</row>
    <row r="741" spans="1:22" x14ac:dyDescent="0.3">
      <c r="A741" t="s">
        <v>2329</v>
      </c>
      <c r="B741" s="3">
        <v>45363</v>
      </c>
      <c r="C741" s="4">
        <v>45636</v>
      </c>
      <c r="D741" s="5">
        <f t="shared" si="11"/>
        <v>273</v>
      </c>
      <c r="E741" t="s">
        <v>2330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2331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</row>
    <row r="742" spans="1:22" x14ac:dyDescent="0.3">
      <c r="A742" t="s">
        <v>2332</v>
      </c>
      <c r="B742" s="3">
        <v>45326</v>
      </c>
      <c r="C742" s="4">
        <v>45384</v>
      </c>
      <c r="D742" s="5">
        <f t="shared" si="11"/>
        <v>58</v>
      </c>
      <c r="E742" t="s">
        <v>527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2333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</row>
    <row r="743" spans="1:22" x14ac:dyDescent="0.3">
      <c r="A743" t="s">
        <v>2334</v>
      </c>
      <c r="B743" s="4">
        <v>45770</v>
      </c>
      <c r="C743" s="4">
        <v>45772</v>
      </c>
      <c r="D743" s="5">
        <f t="shared" si="11"/>
        <v>2</v>
      </c>
      <c r="E743" t="s">
        <v>2335</v>
      </c>
      <c r="F743" t="s">
        <v>47</v>
      </c>
      <c r="G743" t="s">
        <v>95</v>
      </c>
      <c r="H743" t="s">
        <v>54</v>
      </c>
      <c r="I743" t="s">
        <v>248</v>
      </c>
      <c r="J743" t="s">
        <v>249</v>
      </c>
      <c r="K743" t="s">
        <v>41</v>
      </c>
      <c r="L743" t="s">
        <v>66</v>
      </c>
      <c r="M743" t="s">
        <v>2336</v>
      </c>
      <c r="N743" t="s">
        <v>31</v>
      </c>
      <c r="O743">
        <v>3</v>
      </c>
      <c r="P743">
        <v>2951.12</v>
      </c>
      <c r="R743">
        <v>7082.69</v>
      </c>
      <c r="S743">
        <v>5596.34</v>
      </c>
      <c r="T743">
        <v>1486.35</v>
      </c>
      <c r="U743" t="s">
        <v>32</v>
      </c>
      <c r="V743" t="s">
        <v>68</v>
      </c>
    </row>
    <row r="744" spans="1:22" x14ac:dyDescent="0.3">
      <c r="A744" t="s">
        <v>2337</v>
      </c>
      <c r="B744" s="4">
        <v>45580</v>
      </c>
      <c r="C744" s="3">
        <v>45587</v>
      </c>
      <c r="D744" s="5">
        <f t="shared" si="11"/>
        <v>7</v>
      </c>
      <c r="E744" t="s">
        <v>2338</v>
      </c>
      <c r="F744" t="s">
        <v>23</v>
      </c>
      <c r="G744" t="s">
        <v>90</v>
      </c>
      <c r="H744" t="s">
        <v>2339</v>
      </c>
      <c r="I744" t="s">
        <v>39</v>
      </c>
      <c r="J744" t="s">
        <v>40</v>
      </c>
      <c r="K744" t="s">
        <v>28</v>
      </c>
      <c r="L744" t="s">
        <v>29</v>
      </c>
      <c r="M744" t="s">
        <v>2340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</row>
    <row r="745" spans="1:22" x14ac:dyDescent="0.3">
      <c r="A745" t="s">
        <v>2341</v>
      </c>
      <c r="B745" s="4">
        <v>45700</v>
      </c>
      <c r="C745" s="3">
        <v>45702</v>
      </c>
      <c r="D745" s="5">
        <f t="shared" si="11"/>
        <v>2</v>
      </c>
      <c r="E745" t="s">
        <v>2342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2343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</row>
    <row r="746" spans="1:22" x14ac:dyDescent="0.3">
      <c r="A746" t="s">
        <v>2344</v>
      </c>
      <c r="B746" s="4">
        <v>45886</v>
      </c>
      <c r="C746" s="4">
        <v>45889</v>
      </c>
      <c r="D746" s="5">
        <f t="shared" si="11"/>
        <v>3</v>
      </c>
      <c r="E746" t="s">
        <v>2345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2346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</row>
    <row r="747" spans="1:22" x14ac:dyDescent="0.3">
      <c r="A747" t="s">
        <v>2347</v>
      </c>
      <c r="B747" s="3">
        <v>45589</v>
      </c>
      <c r="C747" s="4">
        <v>45593</v>
      </c>
      <c r="D747" s="5">
        <f t="shared" si="11"/>
        <v>4</v>
      </c>
      <c r="E747" t="s">
        <v>2348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2349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</row>
    <row r="748" spans="1:22" x14ac:dyDescent="0.3">
      <c r="A748" t="s">
        <v>2350</v>
      </c>
      <c r="B748" s="4">
        <v>45748</v>
      </c>
      <c r="C748" s="4">
        <v>45931</v>
      </c>
      <c r="D748" s="5">
        <f t="shared" si="11"/>
        <v>183</v>
      </c>
      <c r="E748" t="s">
        <v>2055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2351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</row>
    <row r="749" spans="1:22" x14ac:dyDescent="0.3">
      <c r="A749" t="s">
        <v>2352</v>
      </c>
      <c r="B749" s="4">
        <v>45296</v>
      </c>
      <c r="C749" s="3">
        <v>45478</v>
      </c>
      <c r="D749" s="5">
        <f t="shared" si="11"/>
        <v>182</v>
      </c>
      <c r="E749" t="s">
        <v>2353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2354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</row>
    <row r="750" spans="1:22" x14ac:dyDescent="0.3">
      <c r="A750" t="s">
        <v>2355</v>
      </c>
      <c r="B750" s="4">
        <v>45442</v>
      </c>
      <c r="C750" s="4">
        <v>45442</v>
      </c>
      <c r="D750" s="5">
        <f t="shared" si="11"/>
        <v>0</v>
      </c>
      <c r="E750" t="s">
        <v>2356</v>
      </c>
      <c r="F750" t="s">
        <v>162</v>
      </c>
      <c r="G750" t="s">
        <v>95</v>
      </c>
      <c r="H750" t="s">
        <v>25</v>
      </c>
      <c r="I750" t="s">
        <v>237</v>
      </c>
      <c r="J750" t="s">
        <v>238</v>
      </c>
      <c r="K750" t="s">
        <v>74</v>
      </c>
      <c r="L750" t="s">
        <v>171</v>
      </c>
      <c r="M750" t="s">
        <v>2357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</row>
    <row r="751" spans="1:22" x14ac:dyDescent="0.3">
      <c r="A751" t="s">
        <v>2358</v>
      </c>
      <c r="B751" s="3">
        <v>45372</v>
      </c>
      <c r="C751" s="4">
        <v>45376</v>
      </c>
      <c r="D751" s="5">
        <f t="shared" si="11"/>
        <v>4</v>
      </c>
      <c r="E751" t="s">
        <v>2359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275</v>
      </c>
      <c r="M751" t="s">
        <v>2360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</row>
    <row r="752" spans="1:22" x14ac:dyDescent="0.3">
      <c r="A752" t="s">
        <v>2361</v>
      </c>
      <c r="B752" s="4">
        <v>45810</v>
      </c>
      <c r="C752" s="4">
        <v>45694</v>
      </c>
      <c r="D752" s="5">
        <f t="shared" si="11"/>
        <v>-116</v>
      </c>
      <c r="E752" t="s">
        <v>2362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2363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</row>
    <row r="753" spans="1:22" x14ac:dyDescent="0.3">
      <c r="A753" t="s">
        <v>2364</v>
      </c>
      <c r="B753" s="4">
        <v>45856</v>
      </c>
      <c r="C753" s="4">
        <v>45857</v>
      </c>
      <c r="D753" s="5">
        <f t="shared" si="11"/>
        <v>1</v>
      </c>
      <c r="E753" t="s">
        <v>2365</v>
      </c>
      <c r="F753" t="s">
        <v>114</v>
      </c>
      <c r="G753" t="s">
        <v>95</v>
      </c>
      <c r="I753" t="s">
        <v>136</v>
      </c>
      <c r="J753" t="s">
        <v>137</v>
      </c>
      <c r="K753" t="s">
        <v>74</v>
      </c>
      <c r="L753" t="s">
        <v>275</v>
      </c>
      <c r="M753" t="s">
        <v>2366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</row>
    <row r="754" spans="1:22" x14ac:dyDescent="0.3">
      <c r="A754" t="s">
        <v>2367</v>
      </c>
      <c r="B754" s="4">
        <v>45375</v>
      </c>
      <c r="C754" s="4">
        <v>45378</v>
      </c>
      <c r="D754" s="5">
        <f t="shared" si="11"/>
        <v>3</v>
      </c>
      <c r="E754" t="s">
        <v>2368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2369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</row>
    <row r="755" spans="1:22" x14ac:dyDescent="0.3">
      <c r="A755" t="s">
        <v>2370</v>
      </c>
      <c r="B755" s="3">
        <v>45604</v>
      </c>
      <c r="C755" s="4">
        <v>45573</v>
      </c>
      <c r="D755" s="5">
        <f t="shared" si="11"/>
        <v>-31</v>
      </c>
      <c r="E755" t="s">
        <v>2371</v>
      </c>
      <c r="F755" t="s">
        <v>89</v>
      </c>
      <c r="G755" t="s">
        <v>90</v>
      </c>
      <c r="H755" t="s">
        <v>25</v>
      </c>
      <c r="I755" t="s">
        <v>351</v>
      </c>
      <c r="J755" t="s">
        <v>352</v>
      </c>
      <c r="K755" t="s">
        <v>41</v>
      </c>
      <c r="L755" t="s">
        <v>57</v>
      </c>
      <c r="M755" t="s">
        <v>2372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</row>
    <row r="756" spans="1:22" x14ac:dyDescent="0.3">
      <c r="A756" t="s">
        <v>2373</v>
      </c>
      <c r="B756" s="4">
        <v>45812</v>
      </c>
      <c r="C756" s="4">
        <v>45812</v>
      </c>
      <c r="D756" s="5">
        <f t="shared" si="11"/>
        <v>0</v>
      </c>
      <c r="E756" t="s">
        <v>2374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2375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</row>
    <row r="757" spans="1:22" x14ac:dyDescent="0.3">
      <c r="A757" t="s">
        <v>2376</v>
      </c>
      <c r="B757" s="4">
        <v>45858</v>
      </c>
      <c r="C757" s="4">
        <v>45862</v>
      </c>
      <c r="D757" s="5">
        <f t="shared" si="11"/>
        <v>4</v>
      </c>
      <c r="E757" t="s">
        <v>2377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2378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</row>
    <row r="758" spans="1:22" x14ac:dyDescent="0.3">
      <c r="A758" t="s">
        <v>2379</v>
      </c>
      <c r="B758" s="4">
        <v>45592</v>
      </c>
      <c r="C758" s="4">
        <v>45597</v>
      </c>
      <c r="D758" s="5">
        <f t="shared" si="11"/>
        <v>5</v>
      </c>
      <c r="E758" t="s">
        <v>2380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2381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</row>
    <row r="759" spans="1:22" x14ac:dyDescent="0.3">
      <c r="A759" t="s">
        <v>2382</v>
      </c>
      <c r="B759" s="3">
        <v>45665</v>
      </c>
      <c r="C759" s="4">
        <v>45724</v>
      </c>
      <c r="D759" s="5">
        <f t="shared" si="11"/>
        <v>59</v>
      </c>
      <c r="E759" t="s">
        <v>2383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2384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</row>
    <row r="760" spans="1:22" x14ac:dyDescent="0.3">
      <c r="A760" t="s">
        <v>2385</v>
      </c>
      <c r="B760" s="3">
        <v>45327</v>
      </c>
      <c r="C760" s="3">
        <v>45570</v>
      </c>
      <c r="D760" s="5">
        <f t="shared" si="11"/>
        <v>243</v>
      </c>
      <c r="E760" t="s">
        <v>2386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2387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</row>
    <row r="761" spans="1:22" x14ac:dyDescent="0.3">
      <c r="A761" t="s">
        <v>2388</v>
      </c>
      <c r="B761" s="4">
        <v>45492</v>
      </c>
      <c r="C761" s="4">
        <v>45499</v>
      </c>
      <c r="D761" s="5">
        <f t="shared" si="11"/>
        <v>7</v>
      </c>
      <c r="E761" t="s">
        <v>2389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2390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</row>
    <row r="762" spans="1:22" x14ac:dyDescent="0.3">
      <c r="A762" t="s">
        <v>2391</v>
      </c>
      <c r="B762" s="4">
        <v>45532</v>
      </c>
      <c r="C762" s="3">
        <v>45331</v>
      </c>
      <c r="D762" s="5">
        <f t="shared" si="11"/>
        <v>-201</v>
      </c>
      <c r="E762" t="s">
        <v>2392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2393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</row>
    <row r="763" spans="1:22" x14ac:dyDescent="0.3">
      <c r="A763" t="s">
        <v>2394</v>
      </c>
      <c r="B763" s="3">
        <v>45896</v>
      </c>
      <c r="C763" s="4">
        <v>45900</v>
      </c>
      <c r="D763" s="5">
        <f t="shared" si="11"/>
        <v>4</v>
      </c>
      <c r="E763" t="s">
        <v>2395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275</v>
      </c>
      <c r="M763" t="s">
        <v>2396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</row>
    <row r="764" spans="1:22" x14ac:dyDescent="0.3">
      <c r="A764" t="s">
        <v>2397</v>
      </c>
      <c r="B764" s="4">
        <v>45292</v>
      </c>
      <c r="C764" s="3">
        <v>45413</v>
      </c>
      <c r="D764" s="5">
        <f t="shared" si="11"/>
        <v>121</v>
      </c>
      <c r="E764" t="s">
        <v>2398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275</v>
      </c>
      <c r="M764" t="s">
        <v>2399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</row>
    <row r="765" spans="1:22" x14ac:dyDescent="0.3">
      <c r="A765" t="s">
        <v>2400</v>
      </c>
      <c r="B765" s="3">
        <v>45892</v>
      </c>
      <c r="C765" s="4">
        <v>45894</v>
      </c>
      <c r="D765" s="5">
        <f t="shared" si="11"/>
        <v>2</v>
      </c>
      <c r="E765" t="s">
        <v>2401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2402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</row>
    <row r="766" spans="1:22" x14ac:dyDescent="0.3">
      <c r="A766" t="s">
        <v>2403</v>
      </c>
      <c r="B766" s="4">
        <v>45760</v>
      </c>
      <c r="C766" s="4">
        <v>45760</v>
      </c>
      <c r="D766" s="5">
        <f t="shared" si="11"/>
        <v>0</v>
      </c>
      <c r="E766" t="s">
        <v>901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2404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</row>
    <row r="767" spans="1:22" x14ac:dyDescent="0.3">
      <c r="A767" t="s">
        <v>2405</v>
      </c>
      <c r="B767" s="4">
        <v>45837</v>
      </c>
      <c r="C767" s="4">
        <v>45723</v>
      </c>
      <c r="D767" s="5">
        <f t="shared" si="11"/>
        <v>-114</v>
      </c>
      <c r="E767" t="s">
        <v>2406</v>
      </c>
      <c r="F767" t="s">
        <v>71</v>
      </c>
      <c r="G767" t="s">
        <v>90</v>
      </c>
      <c r="H767" t="s">
        <v>38</v>
      </c>
      <c r="I767" t="s">
        <v>229</v>
      </c>
      <c r="J767" t="s">
        <v>230</v>
      </c>
      <c r="K767" t="s">
        <v>28</v>
      </c>
      <c r="L767" t="s">
        <v>91</v>
      </c>
      <c r="M767" t="s">
        <v>2407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</row>
    <row r="768" spans="1:22" x14ac:dyDescent="0.3">
      <c r="A768" t="s">
        <v>2408</v>
      </c>
      <c r="B768" s="3">
        <v>45552</v>
      </c>
      <c r="C768" s="3">
        <v>45559</v>
      </c>
      <c r="D768" s="5">
        <f t="shared" si="11"/>
        <v>7</v>
      </c>
      <c r="E768" t="s">
        <v>2409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2410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</row>
    <row r="769" spans="1:22" x14ac:dyDescent="0.3">
      <c r="A769" t="s">
        <v>2411</v>
      </c>
      <c r="B769" s="3">
        <v>45356</v>
      </c>
      <c r="C769" s="4">
        <v>45418</v>
      </c>
      <c r="D769" s="5">
        <f t="shared" si="11"/>
        <v>62</v>
      </c>
      <c r="E769" t="s">
        <v>2412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616</v>
      </c>
      <c r="L769" t="s">
        <v>153</v>
      </c>
      <c r="M769" t="s">
        <v>2413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</row>
    <row r="770" spans="1:22" x14ac:dyDescent="0.3">
      <c r="A770" t="s">
        <v>2414</v>
      </c>
      <c r="B770" s="4">
        <v>45692</v>
      </c>
      <c r="C770" s="4">
        <v>45751</v>
      </c>
      <c r="D770" s="5">
        <f t="shared" si="11"/>
        <v>59</v>
      </c>
      <c r="E770" t="s">
        <v>2415</v>
      </c>
      <c r="F770" t="s">
        <v>132</v>
      </c>
      <c r="G770" t="s">
        <v>95</v>
      </c>
      <c r="H770" t="s">
        <v>38</v>
      </c>
      <c r="I770" t="s">
        <v>229</v>
      </c>
      <c r="J770" t="s">
        <v>230</v>
      </c>
      <c r="K770" t="s">
        <v>28</v>
      </c>
      <c r="L770" t="s">
        <v>29</v>
      </c>
      <c r="M770" t="s">
        <v>2416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</row>
    <row r="771" spans="1:22" x14ac:dyDescent="0.3">
      <c r="A771" t="s">
        <v>2417</v>
      </c>
      <c r="B771" s="4">
        <v>45423</v>
      </c>
      <c r="C771" s="3">
        <v>45425</v>
      </c>
      <c r="D771" s="5">
        <f t="shared" ref="D771:D834" si="12">C771-B771</f>
        <v>2</v>
      </c>
      <c r="E771" t="s">
        <v>2418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2419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</row>
    <row r="772" spans="1:22" x14ac:dyDescent="0.3">
      <c r="A772" t="s">
        <v>2420</v>
      </c>
      <c r="B772" s="4">
        <v>45337</v>
      </c>
      <c r="C772" s="4">
        <v>45339</v>
      </c>
      <c r="D772" s="5">
        <f t="shared" si="12"/>
        <v>2</v>
      </c>
      <c r="E772" t="s">
        <v>2421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2422</v>
      </c>
      <c r="N772" t="s">
        <v>50</v>
      </c>
      <c r="O772">
        <v>4</v>
      </c>
      <c r="P772">
        <v>863</v>
      </c>
      <c r="R772">
        <v>3106.8</v>
      </c>
      <c r="S772">
        <v>2376.62</v>
      </c>
      <c r="T772">
        <v>730.18</v>
      </c>
      <c r="U772" t="s">
        <v>32</v>
      </c>
      <c r="V772" t="s">
        <v>33</v>
      </c>
    </row>
    <row r="773" spans="1:22" x14ac:dyDescent="0.3">
      <c r="A773" t="s">
        <v>2423</v>
      </c>
      <c r="B773" s="4">
        <v>45633</v>
      </c>
      <c r="C773" s="4">
        <v>45487</v>
      </c>
      <c r="D773" s="5">
        <f t="shared" si="12"/>
        <v>-146</v>
      </c>
      <c r="E773" t="s">
        <v>470</v>
      </c>
      <c r="F773" t="s">
        <v>62</v>
      </c>
      <c r="G773" t="s">
        <v>24</v>
      </c>
      <c r="H773" t="s">
        <v>25</v>
      </c>
      <c r="I773" t="s">
        <v>237</v>
      </c>
      <c r="J773" t="s">
        <v>238</v>
      </c>
      <c r="K773" t="s">
        <v>74</v>
      </c>
      <c r="L773" t="s">
        <v>275</v>
      </c>
      <c r="M773" t="s">
        <v>2424</v>
      </c>
      <c r="N773" t="s">
        <v>31</v>
      </c>
      <c r="O773">
        <v>4</v>
      </c>
      <c r="P773">
        <v>2131.41</v>
      </c>
      <c r="R773">
        <v>6394.23</v>
      </c>
      <c r="S773">
        <v>3520.69</v>
      </c>
      <c r="T773">
        <v>2873.54</v>
      </c>
      <c r="U773" t="s">
        <v>32</v>
      </c>
      <c r="V773" t="s">
        <v>33</v>
      </c>
    </row>
    <row r="774" spans="1:22" x14ac:dyDescent="0.3">
      <c r="A774" t="s">
        <v>2425</v>
      </c>
      <c r="B774" s="4">
        <v>45853</v>
      </c>
      <c r="C774" s="3">
        <v>45857</v>
      </c>
      <c r="D774" s="5">
        <f t="shared" si="12"/>
        <v>4</v>
      </c>
      <c r="E774" t="s">
        <v>2426</v>
      </c>
      <c r="F774" t="s">
        <v>162</v>
      </c>
      <c r="G774" t="s">
        <v>24</v>
      </c>
      <c r="H774" t="s">
        <v>54</v>
      </c>
      <c r="I774" t="s">
        <v>248</v>
      </c>
      <c r="J774" t="s">
        <v>249</v>
      </c>
      <c r="K774" t="s">
        <v>41</v>
      </c>
      <c r="L774" t="s">
        <v>66</v>
      </c>
      <c r="M774" t="s">
        <v>2427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</row>
    <row r="775" spans="1:22" x14ac:dyDescent="0.3">
      <c r="A775" t="s">
        <v>2428</v>
      </c>
      <c r="B775" s="4">
        <v>45709</v>
      </c>
      <c r="C775" s="3">
        <v>45709</v>
      </c>
      <c r="D775" s="5">
        <f t="shared" si="12"/>
        <v>0</v>
      </c>
      <c r="E775" t="s">
        <v>2429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2430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</row>
    <row r="776" spans="1:22" x14ac:dyDescent="0.3">
      <c r="A776" t="s">
        <v>2431</v>
      </c>
      <c r="B776" s="4">
        <v>45846</v>
      </c>
      <c r="C776" s="4">
        <v>45846</v>
      </c>
      <c r="D776" s="5">
        <f t="shared" si="12"/>
        <v>0</v>
      </c>
      <c r="E776" t="s">
        <v>2432</v>
      </c>
      <c r="F776" t="s">
        <v>265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275</v>
      </c>
      <c r="M776" t="s">
        <v>2433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</row>
    <row r="777" spans="1:22" x14ac:dyDescent="0.3">
      <c r="A777" t="s">
        <v>2434</v>
      </c>
      <c r="B777" s="3">
        <v>45396</v>
      </c>
      <c r="C777" s="4">
        <v>45404</v>
      </c>
      <c r="D777" s="5">
        <f t="shared" si="12"/>
        <v>8</v>
      </c>
      <c r="E777" t="s">
        <v>2435</v>
      </c>
      <c r="F777" t="s">
        <v>53</v>
      </c>
      <c r="G777" t="s">
        <v>24</v>
      </c>
      <c r="H777" t="s">
        <v>25</v>
      </c>
      <c r="I777" t="s">
        <v>237</v>
      </c>
      <c r="J777" t="s">
        <v>238</v>
      </c>
      <c r="K777" t="s">
        <v>74</v>
      </c>
      <c r="L777" t="s">
        <v>75</v>
      </c>
      <c r="M777" t="s">
        <v>2436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</row>
    <row r="778" spans="1:22" x14ac:dyDescent="0.3">
      <c r="A778" t="s">
        <v>2437</v>
      </c>
      <c r="B778" s="4">
        <v>45875</v>
      </c>
      <c r="C778" s="4">
        <v>45821</v>
      </c>
      <c r="D778" s="5">
        <f t="shared" si="12"/>
        <v>-54</v>
      </c>
      <c r="E778" t="s">
        <v>2438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2439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</row>
    <row r="779" spans="1:22" x14ac:dyDescent="0.3">
      <c r="A779" t="s">
        <v>2440</v>
      </c>
      <c r="B779" s="4">
        <v>45384</v>
      </c>
      <c r="C779" s="4">
        <v>45445</v>
      </c>
      <c r="D779" s="5">
        <f t="shared" si="12"/>
        <v>61</v>
      </c>
      <c r="E779" t="s">
        <v>2441</v>
      </c>
      <c r="F779" t="s">
        <v>265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2442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</row>
    <row r="780" spans="1:22" x14ac:dyDescent="0.3">
      <c r="A780" t="s">
        <v>2443</v>
      </c>
      <c r="B780" s="4">
        <v>45497</v>
      </c>
      <c r="C780" s="4">
        <v>45497</v>
      </c>
      <c r="D780" s="5">
        <f t="shared" si="12"/>
        <v>0</v>
      </c>
      <c r="E780" t="s">
        <v>2444</v>
      </c>
      <c r="F780" t="s">
        <v>23</v>
      </c>
      <c r="G780" t="s">
        <v>37</v>
      </c>
      <c r="H780" t="s">
        <v>25</v>
      </c>
      <c r="I780" t="s">
        <v>237</v>
      </c>
      <c r="J780" t="s">
        <v>238</v>
      </c>
      <c r="K780" t="s">
        <v>74</v>
      </c>
      <c r="L780" t="s">
        <v>80</v>
      </c>
      <c r="M780" t="s">
        <v>2445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</row>
    <row r="781" spans="1:22" x14ac:dyDescent="0.3">
      <c r="A781" t="s">
        <v>2446</v>
      </c>
      <c r="B781" s="4">
        <v>45306</v>
      </c>
      <c r="C781" s="4">
        <v>45311</v>
      </c>
      <c r="D781" s="5">
        <f t="shared" si="12"/>
        <v>5</v>
      </c>
      <c r="E781" t="s">
        <v>2447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2448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</row>
    <row r="782" spans="1:22" x14ac:dyDescent="0.3">
      <c r="A782" t="s">
        <v>2449</v>
      </c>
      <c r="B782" s="3">
        <v>45390</v>
      </c>
      <c r="C782" s="4">
        <v>45514</v>
      </c>
      <c r="D782" s="5">
        <f t="shared" si="12"/>
        <v>124</v>
      </c>
      <c r="E782" t="s">
        <v>2450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2451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</row>
    <row r="783" spans="1:22" x14ac:dyDescent="0.3">
      <c r="A783" t="s">
        <v>2452</v>
      </c>
      <c r="B783" s="4">
        <v>45324</v>
      </c>
      <c r="C783" s="3">
        <v>45567</v>
      </c>
      <c r="D783" s="5">
        <f t="shared" si="12"/>
        <v>243</v>
      </c>
      <c r="E783" t="s">
        <v>2453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2454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</row>
    <row r="784" spans="1:22" x14ac:dyDescent="0.3">
      <c r="A784" t="s">
        <v>2455</v>
      </c>
      <c r="B784" s="4">
        <v>45730</v>
      </c>
      <c r="C784" s="4">
        <v>45738</v>
      </c>
      <c r="D784" s="5">
        <f t="shared" si="12"/>
        <v>8</v>
      </c>
      <c r="E784" t="s">
        <v>2456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2457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</row>
    <row r="785" spans="1:22" x14ac:dyDescent="0.3">
      <c r="A785" t="s">
        <v>2458</v>
      </c>
      <c r="B785" s="3">
        <v>45479</v>
      </c>
      <c r="C785" s="4">
        <v>45479</v>
      </c>
      <c r="D785" s="5">
        <f t="shared" si="12"/>
        <v>0</v>
      </c>
      <c r="E785" t="s">
        <v>2459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2460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</row>
    <row r="786" spans="1:22" x14ac:dyDescent="0.3">
      <c r="A786" t="s">
        <v>2461</v>
      </c>
      <c r="B786" s="4">
        <v>45934</v>
      </c>
      <c r="C786" s="4">
        <v>45787</v>
      </c>
      <c r="D786" s="5">
        <f t="shared" si="12"/>
        <v>-147</v>
      </c>
      <c r="E786" t="s">
        <v>2462</v>
      </c>
      <c r="F786" t="s">
        <v>114</v>
      </c>
      <c r="G786" t="s">
        <v>90</v>
      </c>
      <c r="H786" t="s">
        <v>2463</v>
      </c>
      <c r="I786" t="s">
        <v>122</v>
      </c>
      <c r="J786" t="s">
        <v>123</v>
      </c>
      <c r="K786" t="s">
        <v>74</v>
      </c>
      <c r="L786" t="s">
        <v>80</v>
      </c>
      <c r="M786" t="s">
        <v>2464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</row>
    <row r="787" spans="1:22" x14ac:dyDescent="0.3">
      <c r="A787" t="s">
        <v>2465</v>
      </c>
      <c r="B787" s="4">
        <v>45435</v>
      </c>
      <c r="C787" s="4">
        <v>45441</v>
      </c>
      <c r="D787" s="5">
        <f t="shared" si="12"/>
        <v>6</v>
      </c>
      <c r="E787" t="s">
        <v>2466</v>
      </c>
      <c r="F787" t="s">
        <v>162</v>
      </c>
      <c r="G787" t="s">
        <v>37</v>
      </c>
      <c r="H787" t="s">
        <v>25</v>
      </c>
      <c r="I787" t="s">
        <v>237</v>
      </c>
      <c r="J787" t="s">
        <v>238</v>
      </c>
      <c r="K787" t="s">
        <v>28</v>
      </c>
      <c r="L787" t="s">
        <v>124</v>
      </c>
      <c r="M787" t="s">
        <v>2467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</row>
    <row r="788" spans="1:22" x14ac:dyDescent="0.3">
      <c r="A788" t="s">
        <v>2468</v>
      </c>
      <c r="B788" s="4">
        <v>45844</v>
      </c>
      <c r="C788" s="3">
        <v>45876</v>
      </c>
      <c r="D788" s="5">
        <f t="shared" si="12"/>
        <v>32</v>
      </c>
      <c r="E788" t="s">
        <v>2469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2470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</row>
    <row r="789" spans="1:22" x14ac:dyDescent="0.3">
      <c r="A789" t="s">
        <v>2471</v>
      </c>
      <c r="B789" s="4">
        <v>45635</v>
      </c>
      <c r="C789" s="4">
        <v>45553</v>
      </c>
      <c r="D789" s="5">
        <f t="shared" si="12"/>
        <v>-82</v>
      </c>
      <c r="E789" t="s">
        <v>2472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2473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</row>
    <row r="790" spans="1:22" x14ac:dyDescent="0.3">
      <c r="A790" t="s">
        <v>2474</v>
      </c>
      <c r="B790" s="3">
        <v>45299</v>
      </c>
      <c r="C790" s="4">
        <v>45330</v>
      </c>
      <c r="D790" s="5">
        <f t="shared" si="12"/>
        <v>31</v>
      </c>
      <c r="E790" t="s">
        <v>2475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2476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</row>
    <row r="791" spans="1:22" x14ac:dyDescent="0.3">
      <c r="A791" t="s">
        <v>2477</v>
      </c>
      <c r="B791" s="3">
        <v>45841</v>
      </c>
      <c r="C791" s="3">
        <v>45872</v>
      </c>
      <c r="D791" s="5">
        <f t="shared" si="12"/>
        <v>31</v>
      </c>
      <c r="E791" t="s">
        <v>2478</v>
      </c>
      <c r="F791" t="s">
        <v>114</v>
      </c>
      <c r="G791" t="s">
        <v>95</v>
      </c>
      <c r="I791" t="s">
        <v>26</v>
      </c>
      <c r="J791" t="s">
        <v>109</v>
      </c>
      <c r="K791" t="s">
        <v>74</v>
      </c>
      <c r="L791" t="s">
        <v>80</v>
      </c>
      <c r="M791" t="s">
        <v>2479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</row>
    <row r="792" spans="1:22" x14ac:dyDescent="0.3">
      <c r="A792" t="s">
        <v>2480</v>
      </c>
      <c r="B792" s="3">
        <v>45443</v>
      </c>
      <c r="C792" s="4">
        <v>45328</v>
      </c>
      <c r="D792" s="5">
        <f t="shared" si="12"/>
        <v>-115</v>
      </c>
      <c r="E792" t="s">
        <v>2481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2482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</row>
    <row r="793" spans="1:22" x14ac:dyDescent="0.3">
      <c r="A793" t="s">
        <v>2483</v>
      </c>
      <c r="B793" s="3">
        <v>45332</v>
      </c>
      <c r="C793" s="4">
        <v>45453</v>
      </c>
      <c r="D793" s="5">
        <f t="shared" si="12"/>
        <v>121</v>
      </c>
      <c r="E793" t="s">
        <v>2484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2485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</row>
    <row r="794" spans="1:22" x14ac:dyDescent="0.3">
      <c r="A794" t="s">
        <v>2486</v>
      </c>
      <c r="B794" s="4">
        <v>45753</v>
      </c>
      <c r="C794" s="3">
        <v>45875</v>
      </c>
      <c r="D794" s="5">
        <f t="shared" si="12"/>
        <v>122</v>
      </c>
      <c r="E794" t="s">
        <v>2487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2488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</row>
    <row r="795" spans="1:22" x14ac:dyDescent="0.3">
      <c r="A795" t="s">
        <v>2489</v>
      </c>
      <c r="B795" s="4">
        <v>45440</v>
      </c>
      <c r="C795" s="3">
        <v>45357</v>
      </c>
      <c r="D795" s="5">
        <f t="shared" si="12"/>
        <v>-83</v>
      </c>
      <c r="E795" t="s">
        <v>2490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2491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</row>
    <row r="796" spans="1:22" x14ac:dyDescent="0.3">
      <c r="A796" t="s">
        <v>2492</v>
      </c>
      <c r="B796" s="4">
        <v>45830</v>
      </c>
      <c r="C796" s="4">
        <v>45832</v>
      </c>
      <c r="D796" s="5">
        <f t="shared" si="12"/>
        <v>2</v>
      </c>
      <c r="E796" t="s">
        <v>2493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2494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</row>
    <row r="797" spans="1:22" x14ac:dyDescent="0.3">
      <c r="A797" t="s">
        <v>2495</v>
      </c>
      <c r="B797" s="4">
        <v>45503</v>
      </c>
      <c r="C797" s="4">
        <v>45503</v>
      </c>
      <c r="D797" s="5">
        <f t="shared" si="12"/>
        <v>0</v>
      </c>
      <c r="E797" t="s">
        <v>2496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2497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</row>
    <row r="798" spans="1:22" x14ac:dyDescent="0.3">
      <c r="A798" t="s">
        <v>2498</v>
      </c>
      <c r="B798" s="4">
        <v>45374</v>
      </c>
      <c r="C798" s="4">
        <v>45381</v>
      </c>
      <c r="D798" s="5">
        <f t="shared" si="12"/>
        <v>7</v>
      </c>
      <c r="E798" t="s">
        <v>2499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275</v>
      </c>
      <c r="M798" t="s">
        <v>2500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</row>
    <row r="799" spans="1:22" x14ac:dyDescent="0.3">
      <c r="A799" t="s">
        <v>2501</v>
      </c>
      <c r="B799" s="3">
        <v>45400</v>
      </c>
      <c r="C799" s="4">
        <v>45404</v>
      </c>
      <c r="D799" s="5">
        <f t="shared" si="12"/>
        <v>4</v>
      </c>
      <c r="E799" t="s">
        <v>2502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2503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</row>
    <row r="800" spans="1:22" x14ac:dyDescent="0.3">
      <c r="A800" t="s">
        <v>2504</v>
      </c>
      <c r="B800" s="4">
        <v>45968</v>
      </c>
      <c r="C800" s="4">
        <v>45907</v>
      </c>
      <c r="D800" s="5">
        <f t="shared" si="12"/>
        <v>-61</v>
      </c>
      <c r="E800" t="s">
        <v>2505</v>
      </c>
      <c r="F800" t="s">
        <v>89</v>
      </c>
      <c r="G800" t="s">
        <v>90</v>
      </c>
      <c r="H800" t="s">
        <v>25</v>
      </c>
      <c r="I800" t="s">
        <v>351</v>
      </c>
      <c r="J800" t="s">
        <v>352</v>
      </c>
      <c r="K800" t="s">
        <v>41</v>
      </c>
      <c r="L800" t="s">
        <v>57</v>
      </c>
      <c r="M800" t="s">
        <v>2506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</row>
    <row r="801" spans="1:22" x14ac:dyDescent="0.3">
      <c r="A801" t="s">
        <v>2507</v>
      </c>
      <c r="B801" s="3">
        <v>45575</v>
      </c>
      <c r="C801" s="4">
        <v>45582</v>
      </c>
      <c r="D801" s="5">
        <f t="shared" si="12"/>
        <v>7</v>
      </c>
      <c r="E801" t="s">
        <v>2508</v>
      </c>
      <c r="F801" t="s">
        <v>47</v>
      </c>
      <c r="G801" t="s">
        <v>95</v>
      </c>
      <c r="H801" t="s">
        <v>25</v>
      </c>
      <c r="I801" t="s">
        <v>237</v>
      </c>
      <c r="J801" t="s">
        <v>238</v>
      </c>
      <c r="K801" t="s">
        <v>74</v>
      </c>
      <c r="L801" t="s">
        <v>75</v>
      </c>
      <c r="M801" t="s">
        <v>2509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</row>
    <row r="802" spans="1:22" x14ac:dyDescent="0.3">
      <c r="A802" t="s">
        <v>2510</v>
      </c>
      <c r="B802" s="3">
        <v>45294</v>
      </c>
      <c r="C802" s="4">
        <v>45476</v>
      </c>
      <c r="D802" s="5">
        <f t="shared" si="12"/>
        <v>182</v>
      </c>
      <c r="E802" t="s">
        <v>2511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2512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</row>
    <row r="803" spans="1:22" x14ac:dyDescent="0.3">
      <c r="A803" t="s">
        <v>2513</v>
      </c>
      <c r="B803" s="4">
        <v>45879</v>
      </c>
      <c r="C803" s="3">
        <v>45945</v>
      </c>
      <c r="D803" s="5">
        <f t="shared" si="12"/>
        <v>66</v>
      </c>
      <c r="E803" t="s">
        <v>2514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2515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</row>
    <row r="804" spans="1:22" x14ac:dyDescent="0.3">
      <c r="A804" t="s">
        <v>2516</v>
      </c>
      <c r="B804" s="3">
        <v>45704</v>
      </c>
      <c r="C804" s="4">
        <v>45704</v>
      </c>
      <c r="D804" s="5">
        <f t="shared" si="12"/>
        <v>0</v>
      </c>
      <c r="E804" t="s">
        <v>2517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2518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2519</v>
      </c>
      <c r="V804" t="s">
        <v>103</v>
      </c>
    </row>
    <row r="805" spans="1:22" x14ac:dyDescent="0.3">
      <c r="A805" t="s">
        <v>2520</v>
      </c>
      <c r="B805" s="3">
        <v>45547</v>
      </c>
      <c r="C805" s="3">
        <v>45639</v>
      </c>
      <c r="D805" s="5">
        <f t="shared" si="12"/>
        <v>92</v>
      </c>
      <c r="E805" t="s">
        <v>2521</v>
      </c>
      <c r="F805" t="s">
        <v>141</v>
      </c>
      <c r="G805" t="s">
        <v>24</v>
      </c>
      <c r="I805" t="s">
        <v>229</v>
      </c>
      <c r="J805" t="s">
        <v>230</v>
      </c>
      <c r="K805" t="s">
        <v>28</v>
      </c>
      <c r="L805" t="s">
        <v>91</v>
      </c>
      <c r="M805" t="s">
        <v>2522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</row>
    <row r="806" spans="1:22" x14ac:dyDescent="0.3">
      <c r="A806" t="s">
        <v>2523</v>
      </c>
      <c r="B806" s="4">
        <v>45939</v>
      </c>
      <c r="C806" s="4">
        <v>45918</v>
      </c>
      <c r="D806" s="5">
        <f t="shared" si="12"/>
        <v>-21</v>
      </c>
      <c r="E806" t="s">
        <v>2524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2525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</row>
    <row r="807" spans="1:22" x14ac:dyDescent="0.3">
      <c r="A807" t="s">
        <v>2526</v>
      </c>
      <c r="B807" s="4">
        <v>45812</v>
      </c>
      <c r="C807" s="4">
        <v>45842</v>
      </c>
      <c r="D807" s="5">
        <f t="shared" si="12"/>
        <v>30</v>
      </c>
      <c r="E807" t="s">
        <v>2389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2527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</row>
    <row r="808" spans="1:22" x14ac:dyDescent="0.3">
      <c r="A808" t="s">
        <v>2528</v>
      </c>
      <c r="B808" s="4">
        <v>45546</v>
      </c>
      <c r="C808" s="3">
        <v>45611</v>
      </c>
      <c r="D808" s="5">
        <f t="shared" si="12"/>
        <v>65</v>
      </c>
      <c r="E808" t="s">
        <v>2529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2530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</row>
    <row r="809" spans="1:22" x14ac:dyDescent="0.3">
      <c r="A809" t="s">
        <v>2531</v>
      </c>
      <c r="B809" s="3">
        <v>45840</v>
      </c>
      <c r="C809" s="4">
        <v>45871</v>
      </c>
      <c r="D809" s="5">
        <f t="shared" si="12"/>
        <v>31</v>
      </c>
      <c r="E809" t="s">
        <v>2532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2533</v>
      </c>
      <c r="N809" t="s">
        <v>2534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</row>
    <row r="810" spans="1:22" x14ac:dyDescent="0.3">
      <c r="A810" t="s">
        <v>2535</v>
      </c>
      <c r="B810" s="4">
        <v>45900</v>
      </c>
      <c r="C810" s="4">
        <v>45897</v>
      </c>
      <c r="D810" s="5">
        <f t="shared" si="12"/>
        <v>-3</v>
      </c>
      <c r="E810" t="s">
        <v>2536</v>
      </c>
      <c r="F810" t="s">
        <v>128</v>
      </c>
      <c r="G810" t="s">
        <v>37</v>
      </c>
      <c r="H810" t="s">
        <v>54</v>
      </c>
      <c r="I810" t="s">
        <v>248</v>
      </c>
      <c r="J810" t="s">
        <v>249</v>
      </c>
      <c r="K810" t="s">
        <v>41</v>
      </c>
      <c r="L810" t="s">
        <v>57</v>
      </c>
      <c r="M810" t="s">
        <v>2537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</row>
    <row r="811" spans="1:22" x14ac:dyDescent="0.3">
      <c r="A811" t="s">
        <v>2538</v>
      </c>
      <c r="B811" s="3">
        <v>45833</v>
      </c>
      <c r="C811" s="3">
        <v>45833</v>
      </c>
      <c r="D811" s="5">
        <f t="shared" si="12"/>
        <v>0</v>
      </c>
      <c r="E811" t="s">
        <v>2539</v>
      </c>
      <c r="F811" t="s">
        <v>53</v>
      </c>
      <c r="G811" t="s">
        <v>37</v>
      </c>
      <c r="I811" t="s">
        <v>122</v>
      </c>
      <c r="J811" t="s">
        <v>123</v>
      </c>
      <c r="K811" t="s">
        <v>28</v>
      </c>
      <c r="L811" t="s">
        <v>153</v>
      </c>
      <c r="M811" t="s">
        <v>2540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</row>
    <row r="812" spans="1:22" x14ac:dyDescent="0.3">
      <c r="A812" t="s">
        <v>2541</v>
      </c>
      <c r="B812" s="4">
        <v>45385</v>
      </c>
      <c r="C812" s="4">
        <v>45508</v>
      </c>
      <c r="D812" s="5">
        <f t="shared" si="12"/>
        <v>123</v>
      </c>
      <c r="E812" t="s">
        <v>1694</v>
      </c>
      <c r="F812" t="s">
        <v>265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2542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</row>
    <row r="813" spans="1:22" x14ac:dyDescent="0.3">
      <c r="A813" t="s">
        <v>2543</v>
      </c>
      <c r="B813" s="3">
        <v>45638</v>
      </c>
      <c r="C813" s="3">
        <v>45645</v>
      </c>
      <c r="D813" s="5">
        <f t="shared" si="12"/>
        <v>7</v>
      </c>
      <c r="E813" t="s">
        <v>2544</v>
      </c>
      <c r="F813" t="s">
        <v>141</v>
      </c>
      <c r="G813" t="s">
        <v>95</v>
      </c>
      <c r="H813" t="s">
        <v>25</v>
      </c>
      <c r="I813" t="s">
        <v>237</v>
      </c>
      <c r="J813" t="s">
        <v>238</v>
      </c>
      <c r="K813" t="s">
        <v>74</v>
      </c>
      <c r="L813" t="s">
        <v>75</v>
      </c>
      <c r="M813" t="s">
        <v>2545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</row>
    <row r="814" spans="1:22" x14ac:dyDescent="0.3">
      <c r="A814" t="s">
        <v>2546</v>
      </c>
      <c r="B814" s="4">
        <v>45458</v>
      </c>
      <c r="C814" s="4">
        <v>45463</v>
      </c>
      <c r="D814" s="5">
        <f t="shared" si="12"/>
        <v>5</v>
      </c>
      <c r="E814" t="s">
        <v>2547</v>
      </c>
      <c r="F814" t="s">
        <v>132</v>
      </c>
      <c r="G814" t="s">
        <v>37</v>
      </c>
      <c r="H814" t="s">
        <v>38</v>
      </c>
      <c r="I814" t="s">
        <v>229</v>
      </c>
      <c r="J814" t="s">
        <v>230</v>
      </c>
      <c r="K814" t="s">
        <v>41</v>
      </c>
      <c r="L814" t="s">
        <v>42</v>
      </c>
      <c r="M814" t="s">
        <v>2548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</row>
    <row r="815" spans="1:22" x14ac:dyDescent="0.3">
      <c r="A815" t="s">
        <v>2549</v>
      </c>
      <c r="B815" s="4">
        <v>45753</v>
      </c>
      <c r="C815" s="3">
        <v>45934</v>
      </c>
      <c r="D815" s="5">
        <f t="shared" si="12"/>
        <v>181</v>
      </c>
      <c r="E815" t="s">
        <v>2550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1140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</row>
    <row r="816" spans="1:22" x14ac:dyDescent="0.3">
      <c r="A816" t="s">
        <v>2551</v>
      </c>
      <c r="B816" s="3">
        <v>45816</v>
      </c>
      <c r="C816" s="4">
        <v>45969</v>
      </c>
      <c r="D816" s="5">
        <f t="shared" si="12"/>
        <v>153</v>
      </c>
      <c r="E816" t="s">
        <v>2552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2553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</row>
    <row r="817" spans="1:22" x14ac:dyDescent="0.3">
      <c r="A817" t="s">
        <v>2554</v>
      </c>
      <c r="B817" s="4">
        <v>45383</v>
      </c>
      <c r="C817" s="4">
        <v>45508</v>
      </c>
      <c r="D817" s="5">
        <f t="shared" si="12"/>
        <v>125</v>
      </c>
      <c r="E817" t="s">
        <v>2555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275</v>
      </c>
      <c r="M817" t="s">
        <v>2556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</row>
    <row r="818" spans="1:22" x14ac:dyDescent="0.3">
      <c r="A818" t="s">
        <v>2557</v>
      </c>
      <c r="B818" s="4">
        <v>45623</v>
      </c>
      <c r="C818" s="4">
        <v>45626</v>
      </c>
      <c r="D818" s="5">
        <f t="shared" si="12"/>
        <v>3</v>
      </c>
      <c r="E818" t="s">
        <v>2558</v>
      </c>
      <c r="F818" t="s">
        <v>118</v>
      </c>
      <c r="G818" t="s">
        <v>37</v>
      </c>
      <c r="H818" t="s">
        <v>38</v>
      </c>
      <c r="I818" t="s">
        <v>229</v>
      </c>
      <c r="J818" t="s">
        <v>230</v>
      </c>
      <c r="K818" t="s">
        <v>41</v>
      </c>
      <c r="L818" t="s">
        <v>57</v>
      </c>
      <c r="M818" t="s">
        <v>2559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</row>
    <row r="819" spans="1:22" x14ac:dyDescent="0.3">
      <c r="A819" t="s">
        <v>2560</v>
      </c>
      <c r="B819" s="3">
        <v>45781</v>
      </c>
      <c r="C819" s="4">
        <v>45752</v>
      </c>
      <c r="D819" s="5">
        <f t="shared" si="12"/>
        <v>-29</v>
      </c>
      <c r="E819" t="s">
        <v>2561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2562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</row>
    <row r="820" spans="1:22" x14ac:dyDescent="0.3">
      <c r="A820" t="s">
        <v>2563</v>
      </c>
      <c r="B820" s="3">
        <v>45564</v>
      </c>
      <c r="C820" s="4">
        <v>45422</v>
      </c>
      <c r="D820" s="5">
        <f t="shared" si="12"/>
        <v>-142</v>
      </c>
      <c r="E820" t="s">
        <v>2564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2565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</row>
    <row r="821" spans="1:22" x14ac:dyDescent="0.3">
      <c r="A821" t="s">
        <v>2566</v>
      </c>
      <c r="B821" s="4">
        <v>45504</v>
      </c>
      <c r="C821" s="4">
        <v>45504</v>
      </c>
      <c r="D821" s="5">
        <f t="shared" si="12"/>
        <v>0</v>
      </c>
      <c r="E821" t="s">
        <v>2567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2568</v>
      </c>
      <c r="M821" t="s">
        <v>2569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</row>
    <row r="822" spans="1:22" x14ac:dyDescent="0.3">
      <c r="A822" t="s">
        <v>2570</v>
      </c>
      <c r="B822" s="4">
        <v>45810</v>
      </c>
      <c r="C822" s="4">
        <v>45932</v>
      </c>
      <c r="D822" s="5">
        <f t="shared" si="12"/>
        <v>122</v>
      </c>
      <c r="E822" t="s">
        <v>2571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2572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</row>
    <row r="823" spans="1:22" x14ac:dyDescent="0.3">
      <c r="A823" t="s">
        <v>2573</v>
      </c>
      <c r="B823" s="4">
        <v>45358</v>
      </c>
      <c r="C823" s="4">
        <v>45450</v>
      </c>
      <c r="D823" s="5">
        <f t="shared" si="12"/>
        <v>92</v>
      </c>
      <c r="E823" t="s">
        <v>2574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2575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</row>
    <row r="824" spans="1:22" x14ac:dyDescent="0.3">
      <c r="A824" t="s">
        <v>2576</v>
      </c>
      <c r="B824" s="4">
        <v>45577</v>
      </c>
      <c r="C824" s="3">
        <v>45514</v>
      </c>
      <c r="D824" s="5">
        <f t="shared" si="12"/>
        <v>-63</v>
      </c>
      <c r="E824" t="s">
        <v>2577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2578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</row>
    <row r="825" spans="1:22" x14ac:dyDescent="0.3">
      <c r="A825" t="s">
        <v>2579</v>
      </c>
      <c r="B825" s="4">
        <v>45809</v>
      </c>
      <c r="C825" s="3">
        <v>45992</v>
      </c>
      <c r="D825" s="5">
        <f t="shared" si="12"/>
        <v>183</v>
      </c>
      <c r="E825" t="s">
        <v>2580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2581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</row>
    <row r="826" spans="1:22" x14ac:dyDescent="0.3">
      <c r="A826" t="s">
        <v>2582</v>
      </c>
      <c r="B826" s="4">
        <v>45737</v>
      </c>
      <c r="C826" s="3">
        <v>45738</v>
      </c>
      <c r="D826" s="5">
        <f t="shared" si="12"/>
        <v>1</v>
      </c>
      <c r="E826" t="s">
        <v>2583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2584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</row>
    <row r="827" spans="1:22" x14ac:dyDescent="0.3">
      <c r="A827" t="s">
        <v>2585</v>
      </c>
      <c r="B827" s="3">
        <v>45763</v>
      </c>
      <c r="C827" s="4">
        <v>45764</v>
      </c>
      <c r="D827" s="5">
        <f t="shared" si="12"/>
        <v>1</v>
      </c>
      <c r="E827" t="s">
        <v>2586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275</v>
      </c>
      <c r="M827" t="s">
        <v>2587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</row>
    <row r="828" spans="1:22" x14ac:dyDescent="0.3">
      <c r="A828" t="s">
        <v>2588</v>
      </c>
      <c r="B828" s="4">
        <v>45938</v>
      </c>
      <c r="C828" s="3">
        <v>45883</v>
      </c>
      <c r="D828" s="5">
        <f t="shared" si="12"/>
        <v>-55</v>
      </c>
      <c r="E828" t="s">
        <v>2589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2590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</row>
    <row r="829" spans="1:22" x14ac:dyDescent="0.3">
      <c r="A829" t="s">
        <v>2591</v>
      </c>
      <c r="B829" s="3">
        <v>45620</v>
      </c>
      <c r="C829" s="4">
        <v>45303</v>
      </c>
      <c r="D829" s="5">
        <f t="shared" si="12"/>
        <v>-317</v>
      </c>
      <c r="E829" t="s">
        <v>2592</v>
      </c>
      <c r="F829" t="s">
        <v>114</v>
      </c>
      <c r="G829" t="s">
        <v>95</v>
      </c>
      <c r="H829" t="s">
        <v>54</v>
      </c>
      <c r="I829" t="s">
        <v>248</v>
      </c>
      <c r="J829" t="s">
        <v>249</v>
      </c>
      <c r="K829" t="s">
        <v>28</v>
      </c>
      <c r="L829" t="s">
        <v>29</v>
      </c>
      <c r="M829" t="s">
        <v>2593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</row>
    <row r="830" spans="1:22" x14ac:dyDescent="0.3">
      <c r="A830" t="s">
        <v>2594</v>
      </c>
      <c r="B830" s="4">
        <v>45940</v>
      </c>
      <c r="C830" s="4">
        <v>45971</v>
      </c>
      <c r="D830" s="5">
        <f t="shared" si="12"/>
        <v>31</v>
      </c>
      <c r="E830" t="s">
        <v>2595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2596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</row>
    <row r="831" spans="1:22" x14ac:dyDescent="0.3">
      <c r="A831" t="s">
        <v>2597</v>
      </c>
      <c r="B831" s="4">
        <v>45348</v>
      </c>
      <c r="C831" s="4">
        <v>45350</v>
      </c>
      <c r="D831" s="5">
        <f t="shared" si="12"/>
        <v>2</v>
      </c>
      <c r="E831" t="s">
        <v>2598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2599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</row>
    <row r="832" spans="1:22" x14ac:dyDescent="0.3">
      <c r="A832" t="s">
        <v>2600</v>
      </c>
      <c r="B832" s="3">
        <v>45853</v>
      </c>
      <c r="C832" s="4">
        <v>45856</v>
      </c>
      <c r="D832" s="5">
        <f t="shared" si="12"/>
        <v>3</v>
      </c>
      <c r="E832" t="s">
        <v>2601</v>
      </c>
      <c r="F832" t="s">
        <v>89</v>
      </c>
      <c r="G832" t="s">
        <v>37</v>
      </c>
      <c r="I832" t="s">
        <v>248</v>
      </c>
      <c r="J832" t="s">
        <v>249</v>
      </c>
      <c r="K832" t="s">
        <v>74</v>
      </c>
      <c r="L832" t="s">
        <v>275</v>
      </c>
      <c r="M832" t="s">
        <v>2602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</row>
    <row r="833" spans="1:22" x14ac:dyDescent="0.3">
      <c r="A833" t="s">
        <v>2603</v>
      </c>
      <c r="B833" s="4">
        <v>45750</v>
      </c>
      <c r="C833" s="4">
        <v>45720</v>
      </c>
      <c r="D833" s="5">
        <f t="shared" si="12"/>
        <v>-30</v>
      </c>
      <c r="E833" t="s">
        <v>2604</v>
      </c>
      <c r="F833" t="s">
        <v>162</v>
      </c>
      <c r="G833" t="s">
        <v>95</v>
      </c>
      <c r="I833" t="s">
        <v>237</v>
      </c>
      <c r="J833" t="s">
        <v>238</v>
      </c>
      <c r="K833" t="s">
        <v>41</v>
      </c>
      <c r="L833" t="s">
        <v>66</v>
      </c>
      <c r="M833" t="s">
        <v>2605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</row>
    <row r="834" spans="1:22" x14ac:dyDescent="0.3">
      <c r="A834" t="s">
        <v>2606</v>
      </c>
      <c r="B834" s="3">
        <v>45803</v>
      </c>
      <c r="C834" s="4">
        <v>45805</v>
      </c>
      <c r="D834" s="5">
        <f t="shared" si="12"/>
        <v>2</v>
      </c>
      <c r="E834" t="s">
        <v>2607</v>
      </c>
      <c r="F834" t="s">
        <v>265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2608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</row>
    <row r="835" spans="1:22" x14ac:dyDescent="0.3">
      <c r="A835" t="s">
        <v>2609</v>
      </c>
      <c r="B835" s="4">
        <v>45388</v>
      </c>
      <c r="C835" s="4">
        <v>45447</v>
      </c>
      <c r="D835" s="5">
        <f t="shared" ref="D835:D898" si="13">C835-B835</f>
        <v>59</v>
      </c>
      <c r="E835" t="s">
        <v>2610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2611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</row>
    <row r="836" spans="1:22" x14ac:dyDescent="0.3">
      <c r="A836" t="s">
        <v>2612</v>
      </c>
      <c r="B836" s="4">
        <v>45583</v>
      </c>
      <c r="C836" s="4">
        <v>45587</v>
      </c>
      <c r="D836" s="5">
        <f t="shared" si="13"/>
        <v>4</v>
      </c>
      <c r="E836" t="s">
        <v>2613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2614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</row>
    <row r="837" spans="1:22" x14ac:dyDescent="0.3">
      <c r="A837" t="s">
        <v>2615</v>
      </c>
      <c r="B837" s="4">
        <v>45926</v>
      </c>
      <c r="C837" s="4">
        <v>45757</v>
      </c>
      <c r="D837" s="5">
        <f t="shared" si="13"/>
        <v>-169</v>
      </c>
      <c r="E837" t="s">
        <v>2616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2617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</row>
    <row r="838" spans="1:22" x14ac:dyDescent="0.3">
      <c r="A838" t="s">
        <v>2618</v>
      </c>
      <c r="B838" s="4">
        <v>45641</v>
      </c>
      <c r="C838" s="4">
        <v>45644</v>
      </c>
      <c r="D838" s="5">
        <f t="shared" si="13"/>
        <v>3</v>
      </c>
      <c r="E838" t="s">
        <v>2619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2620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</row>
    <row r="839" spans="1:22" x14ac:dyDescent="0.3">
      <c r="A839" t="s">
        <v>2621</v>
      </c>
      <c r="B839" s="4">
        <v>45927</v>
      </c>
      <c r="C839" s="4">
        <v>45928</v>
      </c>
      <c r="D839" s="5">
        <f t="shared" si="13"/>
        <v>1</v>
      </c>
      <c r="E839" t="s">
        <v>2622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2623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</row>
    <row r="840" spans="1:22" x14ac:dyDescent="0.3">
      <c r="A840" t="s">
        <v>2624</v>
      </c>
      <c r="B840" s="4">
        <v>45750</v>
      </c>
      <c r="C840" s="3">
        <v>45842</v>
      </c>
      <c r="D840" s="5">
        <f t="shared" si="13"/>
        <v>92</v>
      </c>
      <c r="E840" t="s">
        <v>2625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2626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</row>
    <row r="841" spans="1:22" x14ac:dyDescent="0.3">
      <c r="A841" t="s">
        <v>2627</v>
      </c>
      <c r="B841" s="4">
        <v>45555</v>
      </c>
      <c r="C841" s="4">
        <v>45557</v>
      </c>
      <c r="D841" s="5">
        <f t="shared" si="13"/>
        <v>2</v>
      </c>
      <c r="E841" t="s">
        <v>2628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2629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</row>
    <row r="842" spans="1:22" x14ac:dyDescent="0.3">
      <c r="A842" t="s">
        <v>2630</v>
      </c>
      <c r="B842" s="4">
        <v>45919</v>
      </c>
      <c r="C842" s="4">
        <v>45919</v>
      </c>
      <c r="D842" s="5">
        <f t="shared" si="13"/>
        <v>0</v>
      </c>
      <c r="E842" t="s">
        <v>2631</v>
      </c>
      <c r="F842" t="s">
        <v>79</v>
      </c>
      <c r="G842" t="s">
        <v>95</v>
      </c>
      <c r="H842" t="s">
        <v>25</v>
      </c>
      <c r="I842" t="s">
        <v>351</v>
      </c>
      <c r="J842" t="s">
        <v>352</v>
      </c>
      <c r="K842" t="s">
        <v>41</v>
      </c>
      <c r="L842" t="s">
        <v>66</v>
      </c>
      <c r="M842" t="s">
        <v>2632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</row>
    <row r="843" spans="1:22" x14ac:dyDescent="0.3">
      <c r="A843" t="s">
        <v>2633</v>
      </c>
      <c r="B843" s="4">
        <v>45810</v>
      </c>
      <c r="C843" s="3">
        <v>45993</v>
      </c>
      <c r="D843" s="5">
        <f t="shared" si="13"/>
        <v>183</v>
      </c>
      <c r="E843" t="s">
        <v>2634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2635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</row>
    <row r="844" spans="1:22" x14ac:dyDescent="0.3">
      <c r="A844" t="s">
        <v>2636</v>
      </c>
      <c r="B844" s="4">
        <v>45382</v>
      </c>
      <c r="C844" s="4">
        <v>45381</v>
      </c>
      <c r="D844" s="5">
        <f t="shared" si="13"/>
        <v>-1</v>
      </c>
      <c r="E844" t="s">
        <v>2637</v>
      </c>
      <c r="F844" t="s">
        <v>2638</v>
      </c>
      <c r="G844" t="s">
        <v>24</v>
      </c>
      <c r="H844" t="s">
        <v>25</v>
      </c>
      <c r="I844" t="s">
        <v>237</v>
      </c>
      <c r="J844" t="s">
        <v>238</v>
      </c>
      <c r="K844" t="s">
        <v>74</v>
      </c>
      <c r="L844" t="s">
        <v>275</v>
      </c>
      <c r="M844" t="s">
        <v>2639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</row>
    <row r="845" spans="1:22" x14ac:dyDescent="0.3">
      <c r="A845" t="s">
        <v>2640</v>
      </c>
      <c r="B845" s="3">
        <v>45856</v>
      </c>
      <c r="C845" s="3">
        <v>45863</v>
      </c>
      <c r="D845" s="5">
        <f t="shared" si="13"/>
        <v>7</v>
      </c>
      <c r="E845" t="s">
        <v>2641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2642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</row>
    <row r="846" spans="1:22" x14ac:dyDescent="0.3">
      <c r="A846" t="s">
        <v>2643</v>
      </c>
      <c r="B846" s="4">
        <v>45677</v>
      </c>
      <c r="C846" s="4">
        <v>45682</v>
      </c>
      <c r="D846" s="5">
        <f t="shared" si="13"/>
        <v>5</v>
      </c>
      <c r="E846" t="s">
        <v>2644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2645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</row>
    <row r="847" spans="1:22" x14ac:dyDescent="0.3">
      <c r="A847" t="s">
        <v>2646</v>
      </c>
      <c r="B847" s="4">
        <v>45345</v>
      </c>
      <c r="C847" s="3">
        <v>45349</v>
      </c>
      <c r="D847" s="5">
        <f t="shared" si="13"/>
        <v>4</v>
      </c>
      <c r="E847" t="s">
        <v>599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2647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</row>
    <row r="848" spans="1:22" x14ac:dyDescent="0.3">
      <c r="A848" t="s">
        <v>2648</v>
      </c>
      <c r="B848" s="4">
        <v>45396</v>
      </c>
      <c r="C848" s="4">
        <v>45404</v>
      </c>
      <c r="D848" s="5">
        <f t="shared" si="13"/>
        <v>8</v>
      </c>
      <c r="E848" t="s">
        <v>2649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2650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</row>
    <row r="849" spans="1:22" x14ac:dyDescent="0.3">
      <c r="A849" t="s">
        <v>2651</v>
      </c>
      <c r="B849" s="4">
        <v>45797</v>
      </c>
      <c r="C849" s="4">
        <v>45799</v>
      </c>
      <c r="D849" s="5">
        <f t="shared" si="13"/>
        <v>2</v>
      </c>
      <c r="E849" t="s">
        <v>2652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2653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</row>
    <row r="850" spans="1:22" x14ac:dyDescent="0.3">
      <c r="A850" t="s">
        <v>2654</v>
      </c>
      <c r="B850" s="4">
        <v>45804</v>
      </c>
      <c r="C850" s="3">
        <v>45806</v>
      </c>
      <c r="D850" s="5">
        <f t="shared" si="13"/>
        <v>2</v>
      </c>
      <c r="E850" t="s">
        <v>2655</v>
      </c>
      <c r="F850" t="s">
        <v>118</v>
      </c>
      <c r="G850" t="s">
        <v>95</v>
      </c>
      <c r="H850" t="s">
        <v>54</v>
      </c>
      <c r="I850" t="s">
        <v>248</v>
      </c>
      <c r="J850" t="s">
        <v>249</v>
      </c>
      <c r="K850" t="s">
        <v>41</v>
      </c>
      <c r="L850" t="s">
        <v>57</v>
      </c>
      <c r="M850" t="s">
        <v>2656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</row>
    <row r="851" spans="1:22" x14ac:dyDescent="0.3">
      <c r="A851" t="s">
        <v>2657</v>
      </c>
      <c r="B851" s="4">
        <v>45446</v>
      </c>
      <c r="C851" s="4">
        <v>45629</v>
      </c>
      <c r="D851" s="5">
        <f t="shared" si="13"/>
        <v>183</v>
      </c>
      <c r="E851" t="s">
        <v>2658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2659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</row>
    <row r="852" spans="1:22" x14ac:dyDescent="0.3">
      <c r="A852" t="s">
        <v>2660</v>
      </c>
      <c r="B852" s="4">
        <v>45473</v>
      </c>
      <c r="C852" s="4">
        <v>45358</v>
      </c>
      <c r="D852" s="5">
        <f t="shared" si="13"/>
        <v>-115</v>
      </c>
      <c r="E852" t="s">
        <v>2661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2662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</row>
    <row r="853" spans="1:22" x14ac:dyDescent="0.3">
      <c r="A853" t="s">
        <v>2663</v>
      </c>
      <c r="B853" s="4">
        <v>45377</v>
      </c>
      <c r="C853" s="3">
        <v>45295</v>
      </c>
      <c r="D853" s="5">
        <f t="shared" si="13"/>
        <v>-82</v>
      </c>
      <c r="E853" t="s">
        <v>2664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2665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</row>
    <row r="854" spans="1:22" x14ac:dyDescent="0.3">
      <c r="A854" t="s">
        <v>2666</v>
      </c>
      <c r="B854" s="4">
        <v>45295</v>
      </c>
      <c r="C854" s="4">
        <v>45508</v>
      </c>
      <c r="D854" s="5">
        <f t="shared" si="13"/>
        <v>213</v>
      </c>
      <c r="E854" t="s">
        <v>2667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2668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</row>
    <row r="855" spans="1:22" x14ac:dyDescent="0.3">
      <c r="A855" t="s">
        <v>2669</v>
      </c>
      <c r="B855" s="4">
        <v>45793</v>
      </c>
      <c r="C855" s="4">
        <v>45799</v>
      </c>
      <c r="D855" s="5">
        <f t="shared" si="13"/>
        <v>6</v>
      </c>
      <c r="E855" t="s">
        <v>2670</v>
      </c>
      <c r="F855" t="s">
        <v>53</v>
      </c>
      <c r="G855" t="s">
        <v>90</v>
      </c>
      <c r="H855" t="s">
        <v>54</v>
      </c>
      <c r="I855" t="s">
        <v>248</v>
      </c>
      <c r="J855" t="s">
        <v>249</v>
      </c>
      <c r="K855" t="s">
        <v>74</v>
      </c>
      <c r="L855" t="s">
        <v>75</v>
      </c>
      <c r="M855" t="s">
        <v>2671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</row>
    <row r="856" spans="1:22" x14ac:dyDescent="0.3">
      <c r="A856" t="s">
        <v>2672</v>
      </c>
      <c r="B856" s="4">
        <v>45741</v>
      </c>
      <c r="C856" s="4">
        <v>45749</v>
      </c>
      <c r="D856" s="5">
        <f t="shared" si="13"/>
        <v>8</v>
      </c>
      <c r="E856" t="s">
        <v>2673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2674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</row>
    <row r="857" spans="1:22" x14ac:dyDescent="0.3">
      <c r="A857" t="s">
        <v>2675</v>
      </c>
      <c r="B857" s="4">
        <v>45498</v>
      </c>
      <c r="C857" s="3">
        <v>45330</v>
      </c>
      <c r="D857" s="5">
        <f t="shared" si="13"/>
        <v>-168</v>
      </c>
      <c r="E857" t="s">
        <v>1139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2676</v>
      </c>
      <c r="M857" t="s">
        <v>2677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</row>
    <row r="858" spans="1:22" x14ac:dyDescent="0.3">
      <c r="A858" t="s">
        <v>2678</v>
      </c>
      <c r="B858" s="4">
        <v>45632</v>
      </c>
      <c r="C858" s="3">
        <v>45462</v>
      </c>
      <c r="D858" s="5">
        <f t="shared" si="13"/>
        <v>-170</v>
      </c>
      <c r="E858" t="s">
        <v>1321</v>
      </c>
      <c r="F858" t="s">
        <v>141</v>
      </c>
      <c r="G858" t="s">
        <v>95</v>
      </c>
      <c r="H858" t="s">
        <v>54</v>
      </c>
      <c r="I858" t="s">
        <v>248</v>
      </c>
      <c r="J858" t="s">
        <v>249</v>
      </c>
      <c r="K858" t="s">
        <v>28</v>
      </c>
      <c r="L858" t="s">
        <v>124</v>
      </c>
      <c r="M858" t="s">
        <v>2679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</row>
    <row r="859" spans="1:22" x14ac:dyDescent="0.3">
      <c r="A859" t="s">
        <v>2680</v>
      </c>
      <c r="B859" s="3">
        <v>45388</v>
      </c>
      <c r="C859" s="4">
        <v>45388</v>
      </c>
      <c r="D859" s="5">
        <f t="shared" si="13"/>
        <v>0</v>
      </c>
      <c r="E859" t="s">
        <v>2180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2681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</row>
    <row r="860" spans="1:22" x14ac:dyDescent="0.3">
      <c r="A860" t="s">
        <v>2682</v>
      </c>
      <c r="B860" s="4">
        <v>45414</v>
      </c>
      <c r="C860" s="3">
        <v>45540</v>
      </c>
      <c r="D860" s="5">
        <f t="shared" si="13"/>
        <v>126</v>
      </c>
      <c r="E860" t="s">
        <v>2683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2684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</row>
    <row r="861" spans="1:22" x14ac:dyDescent="0.3">
      <c r="A861" t="s">
        <v>2685</v>
      </c>
      <c r="B861" s="4">
        <v>45592</v>
      </c>
      <c r="C861" s="4">
        <v>45302</v>
      </c>
      <c r="D861" s="5">
        <f t="shared" si="13"/>
        <v>-290</v>
      </c>
      <c r="E861" t="s">
        <v>2686</v>
      </c>
      <c r="F861" t="s">
        <v>89</v>
      </c>
      <c r="G861" t="s">
        <v>90</v>
      </c>
      <c r="H861" t="s">
        <v>54</v>
      </c>
      <c r="I861" t="s">
        <v>248</v>
      </c>
      <c r="J861" t="s">
        <v>249</v>
      </c>
      <c r="K861" t="s">
        <v>74</v>
      </c>
      <c r="L861" t="s">
        <v>171</v>
      </c>
      <c r="M861" t="s">
        <v>2687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</row>
    <row r="862" spans="1:22" x14ac:dyDescent="0.3">
      <c r="A862" t="s">
        <v>2688</v>
      </c>
      <c r="B862" s="3">
        <v>45324</v>
      </c>
      <c r="C862" s="3">
        <v>45384</v>
      </c>
      <c r="D862" s="5">
        <f t="shared" si="13"/>
        <v>60</v>
      </c>
      <c r="E862" t="s">
        <v>2689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2690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</row>
    <row r="863" spans="1:22" x14ac:dyDescent="0.3">
      <c r="A863" t="s">
        <v>2691</v>
      </c>
      <c r="B863" s="4">
        <v>45872</v>
      </c>
      <c r="C863" s="4">
        <v>45903</v>
      </c>
      <c r="D863" s="5">
        <f t="shared" si="13"/>
        <v>31</v>
      </c>
      <c r="E863" t="s">
        <v>2692</v>
      </c>
      <c r="F863" t="s">
        <v>114</v>
      </c>
      <c r="G863" t="s">
        <v>95</v>
      </c>
      <c r="H863" t="s">
        <v>25</v>
      </c>
      <c r="I863" t="s">
        <v>351</v>
      </c>
      <c r="J863" t="s">
        <v>352</v>
      </c>
      <c r="K863" t="s">
        <v>41</v>
      </c>
      <c r="L863" t="s">
        <v>57</v>
      </c>
      <c r="M863" t="s">
        <v>2693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</row>
    <row r="864" spans="1:22" x14ac:dyDescent="0.3">
      <c r="A864" t="s">
        <v>2694</v>
      </c>
      <c r="B864" s="4">
        <v>45742</v>
      </c>
      <c r="C864" s="4">
        <v>45747</v>
      </c>
      <c r="D864" s="5">
        <f t="shared" si="13"/>
        <v>5</v>
      </c>
      <c r="E864" t="s">
        <v>2695</v>
      </c>
      <c r="F864" t="s">
        <v>114</v>
      </c>
      <c r="G864" t="s">
        <v>37</v>
      </c>
      <c r="H864" t="s">
        <v>38</v>
      </c>
      <c r="I864" t="s">
        <v>229</v>
      </c>
      <c r="J864" t="s">
        <v>230</v>
      </c>
      <c r="K864" t="s">
        <v>28</v>
      </c>
      <c r="L864" t="s">
        <v>153</v>
      </c>
      <c r="M864" t="s">
        <v>2696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</row>
    <row r="865" spans="1:22" x14ac:dyDescent="0.3">
      <c r="A865" t="s">
        <v>2697</v>
      </c>
      <c r="B865" s="4">
        <v>45906</v>
      </c>
      <c r="C865" s="4">
        <v>45908</v>
      </c>
      <c r="D865" s="5">
        <f t="shared" si="13"/>
        <v>2</v>
      </c>
      <c r="E865" t="s">
        <v>2698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2699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</row>
    <row r="866" spans="1:22" x14ac:dyDescent="0.3">
      <c r="A866" t="s">
        <v>2700</v>
      </c>
      <c r="B866" s="3">
        <v>45697</v>
      </c>
      <c r="C866" s="4">
        <v>45786</v>
      </c>
      <c r="D866" s="5">
        <f t="shared" si="13"/>
        <v>89</v>
      </c>
      <c r="E866" t="s">
        <v>2701</v>
      </c>
      <c r="F866" t="s">
        <v>71</v>
      </c>
      <c r="G866" t="s">
        <v>24</v>
      </c>
      <c r="H866" t="s">
        <v>54</v>
      </c>
      <c r="I866" t="s">
        <v>248</v>
      </c>
      <c r="J866" t="s">
        <v>249</v>
      </c>
      <c r="K866" t="s">
        <v>74</v>
      </c>
      <c r="L866" t="s">
        <v>171</v>
      </c>
      <c r="M866" t="s">
        <v>2702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</row>
    <row r="867" spans="1:22" x14ac:dyDescent="0.3">
      <c r="A867" t="s">
        <v>2703</v>
      </c>
      <c r="B867" s="4">
        <v>45810</v>
      </c>
      <c r="C867" s="4">
        <v>45702</v>
      </c>
      <c r="D867" s="5">
        <f t="shared" si="13"/>
        <v>-108</v>
      </c>
      <c r="E867" t="s">
        <v>2704</v>
      </c>
      <c r="F867" t="s">
        <v>265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2705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</row>
    <row r="868" spans="1:22" x14ac:dyDescent="0.3">
      <c r="A868" t="s">
        <v>2706</v>
      </c>
      <c r="B868" s="4">
        <v>45714</v>
      </c>
      <c r="C868" s="4">
        <v>45811</v>
      </c>
      <c r="D868" s="5">
        <f t="shared" si="13"/>
        <v>97</v>
      </c>
      <c r="E868" t="s">
        <v>2707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2708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</row>
    <row r="869" spans="1:22" x14ac:dyDescent="0.3">
      <c r="A869" t="s">
        <v>2709</v>
      </c>
      <c r="B869" s="3">
        <v>45617</v>
      </c>
      <c r="C869" s="3">
        <v>45618</v>
      </c>
      <c r="D869" s="5">
        <f t="shared" si="13"/>
        <v>1</v>
      </c>
      <c r="E869" t="s">
        <v>2710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2711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</row>
    <row r="870" spans="1:22" x14ac:dyDescent="0.3">
      <c r="A870" t="s">
        <v>2712</v>
      </c>
      <c r="B870" s="4">
        <v>45965</v>
      </c>
      <c r="C870" s="4">
        <v>45762</v>
      </c>
      <c r="D870" s="5">
        <f t="shared" si="13"/>
        <v>-203</v>
      </c>
      <c r="E870" t="s">
        <v>2713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2714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</row>
    <row r="871" spans="1:22" x14ac:dyDescent="0.3">
      <c r="A871" t="s">
        <v>2715</v>
      </c>
      <c r="B871" s="4">
        <v>45722</v>
      </c>
      <c r="C871" s="4">
        <v>45841</v>
      </c>
      <c r="D871" s="5">
        <f t="shared" si="13"/>
        <v>119</v>
      </c>
      <c r="E871" t="s">
        <v>2716</v>
      </c>
      <c r="F871" t="s">
        <v>141</v>
      </c>
      <c r="G871" t="s">
        <v>95</v>
      </c>
      <c r="I871" t="s">
        <v>351</v>
      </c>
      <c r="J871" t="s">
        <v>352</v>
      </c>
      <c r="K871" t="s">
        <v>41</v>
      </c>
      <c r="L871" t="s">
        <v>66</v>
      </c>
      <c r="M871" t="s">
        <v>1164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</row>
    <row r="872" spans="1:22" x14ac:dyDescent="0.3">
      <c r="A872" t="s">
        <v>2717</v>
      </c>
      <c r="B872" s="3">
        <v>45814</v>
      </c>
      <c r="C872" s="3">
        <v>45844</v>
      </c>
      <c r="D872" s="5">
        <f t="shared" si="13"/>
        <v>30</v>
      </c>
      <c r="E872" t="s">
        <v>2718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2719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</row>
    <row r="873" spans="1:22" x14ac:dyDescent="0.3">
      <c r="A873" t="s">
        <v>2720</v>
      </c>
      <c r="B873" s="4">
        <v>45342</v>
      </c>
      <c r="C873" s="4">
        <v>45344</v>
      </c>
      <c r="D873" s="5">
        <f t="shared" si="13"/>
        <v>2</v>
      </c>
      <c r="E873" t="s">
        <v>2589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2721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</row>
    <row r="874" spans="1:22" x14ac:dyDescent="0.3">
      <c r="A874" t="s">
        <v>2722</v>
      </c>
      <c r="B874" s="4">
        <v>45597</v>
      </c>
      <c r="C874" s="3">
        <v>45333</v>
      </c>
      <c r="D874" s="5">
        <f t="shared" si="13"/>
        <v>-264</v>
      </c>
      <c r="E874" t="s">
        <v>1989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2723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</row>
    <row r="875" spans="1:22" x14ac:dyDescent="0.3">
      <c r="A875" t="s">
        <v>2724</v>
      </c>
      <c r="B875" s="3">
        <v>45659</v>
      </c>
      <c r="C875" s="4">
        <v>45871</v>
      </c>
      <c r="D875" s="5">
        <f t="shared" si="13"/>
        <v>212</v>
      </c>
      <c r="E875" t="s">
        <v>2725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2726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</row>
    <row r="876" spans="1:22" x14ac:dyDescent="0.3">
      <c r="A876" t="s">
        <v>2727</v>
      </c>
      <c r="B876" s="3">
        <v>45853</v>
      </c>
      <c r="C876" s="3">
        <v>45854</v>
      </c>
      <c r="D876" s="5">
        <f t="shared" si="13"/>
        <v>1</v>
      </c>
      <c r="E876" t="s">
        <v>2728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2729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</row>
    <row r="877" spans="1:22" x14ac:dyDescent="0.3">
      <c r="A877" t="s">
        <v>2730</v>
      </c>
      <c r="B877" s="3">
        <v>45573</v>
      </c>
      <c r="C877" s="4">
        <v>45515</v>
      </c>
      <c r="D877" s="5">
        <f t="shared" si="13"/>
        <v>-58</v>
      </c>
      <c r="E877" t="s">
        <v>2731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2732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</row>
    <row r="878" spans="1:22" x14ac:dyDescent="0.3">
      <c r="A878" t="s">
        <v>2733</v>
      </c>
      <c r="B878" s="4">
        <v>45614</v>
      </c>
      <c r="C878" s="4">
        <v>45616</v>
      </c>
      <c r="D878" s="5">
        <f t="shared" si="13"/>
        <v>2</v>
      </c>
      <c r="E878" t="s">
        <v>2734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860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</row>
    <row r="879" spans="1:22" x14ac:dyDescent="0.3">
      <c r="A879" t="s">
        <v>2735</v>
      </c>
      <c r="B879" s="4">
        <v>45895</v>
      </c>
      <c r="C879" s="4">
        <v>45725</v>
      </c>
      <c r="D879" s="5">
        <f t="shared" si="13"/>
        <v>-170</v>
      </c>
      <c r="E879" t="s">
        <v>2736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2737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</row>
    <row r="880" spans="1:22" x14ac:dyDescent="0.3">
      <c r="A880" t="s">
        <v>2738</v>
      </c>
      <c r="B880" s="4">
        <v>45313</v>
      </c>
      <c r="C880" s="4">
        <v>45313</v>
      </c>
      <c r="D880" s="5">
        <f t="shared" si="13"/>
        <v>0</v>
      </c>
      <c r="E880" t="s">
        <v>2739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2740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</row>
    <row r="881" spans="1:22" x14ac:dyDescent="0.3">
      <c r="A881" t="s">
        <v>2741</v>
      </c>
      <c r="B881" s="4">
        <v>45896</v>
      </c>
      <c r="C881" s="4">
        <v>45897</v>
      </c>
      <c r="D881" s="5">
        <f t="shared" si="13"/>
        <v>1</v>
      </c>
      <c r="E881" t="s">
        <v>2742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2743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</row>
    <row r="882" spans="1:22" x14ac:dyDescent="0.3">
      <c r="A882" t="s">
        <v>2744</v>
      </c>
      <c r="B882" s="4">
        <v>45507</v>
      </c>
      <c r="C882" s="4">
        <v>45366</v>
      </c>
      <c r="D882" s="5">
        <f t="shared" si="13"/>
        <v>-141</v>
      </c>
      <c r="E882" t="s">
        <v>2745</v>
      </c>
      <c r="F882" t="s">
        <v>128</v>
      </c>
      <c r="G882" t="s">
        <v>37</v>
      </c>
      <c r="I882" t="s">
        <v>122</v>
      </c>
      <c r="J882" t="s">
        <v>123</v>
      </c>
      <c r="K882" t="s">
        <v>41</v>
      </c>
      <c r="L882" t="s">
        <v>66</v>
      </c>
      <c r="M882" t="s">
        <v>2746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</row>
    <row r="883" spans="1:22" x14ac:dyDescent="0.3">
      <c r="A883" t="s">
        <v>2747</v>
      </c>
      <c r="B883" s="3">
        <v>45303</v>
      </c>
      <c r="C883" s="4">
        <v>45424</v>
      </c>
      <c r="D883" s="5">
        <f t="shared" si="13"/>
        <v>121</v>
      </c>
      <c r="E883" t="s">
        <v>2748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2749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</row>
    <row r="884" spans="1:22" x14ac:dyDescent="0.3">
      <c r="A884" t="s">
        <v>2750</v>
      </c>
      <c r="B884" s="3">
        <v>45690</v>
      </c>
      <c r="C884" s="4">
        <v>45698</v>
      </c>
      <c r="D884" s="5">
        <f t="shared" si="13"/>
        <v>8</v>
      </c>
      <c r="E884" t="s">
        <v>2751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2752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</row>
    <row r="885" spans="1:22" x14ac:dyDescent="0.3">
      <c r="A885" t="s">
        <v>2753</v>
      </c>
      <c r="B885" s="3">
        <v>45775</v>
      </c>
      <c r="C885" s="4">
        <v>45778</v>
      </c>
      <c r="D885" s="5">
        <f t="shared" si="13"/>
        <v>3</v>
      </c>
      <c r="E885" t="s">
        <v>2754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2755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</row>
    <row r="886" spans="1:22" x14ac:dyDescent="0.3">
      <c r="A886" t="s">
        <v>2756</v>
      </c>
      <c r="B886" s="4">
        <v>45675</v>
      </c>
      <c r="C886" s="4">
        <v>45682</v>
      </c>
      <c r="D886" s="5">
        <f t="shared" si="13"/>
        <v>7</v>
      </c>
      <c r="E886" t="s">
        <v>2757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2758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</row>
    <row r="887" spans="1:22" x14ac:dyDescent="0.3">
      <c r="A887" t="s">
        <v>2759</v>
      </c>
      <c r="B887" s="4">
        <v>45413</v>
      </c>
      <c r="C887" s="4">
        <v>45413</v>
      </c>
      <c r="D887" s="5">
        <f t="shared" si="13"/>
        <v>0</v>
      </c>
      <c r="E887" t="s">
        <v>2760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2761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</row>
    <row r="888" spans="1:22" x14ac:dyDescent="0.3">
      <c r="A888" t="s">
        <v>2762</v>
      </c>
      <c r="B888" s="4">
        <v>45773</v>
      </c>
      <c r="C888" s="4">
        <v>45721</v>
      </c>
      <c r="D888" s="5">
        <f t="shared" si="13"/>
        <v>-52</v>
      </c>
      <c r="E888" t="s">
        <v>2763</v>
      </c>
      <c r="F888" t="s">
        <v>53</v>
      </c>
      <c r="G888" t="s">
        <v>95</v>
      </c>
      <c r="H888" t="s">
        <v>54</v>
      </c>
      <c r="I888" t="s">
        <v>248</v>
      </c>
      <c r="J888" t="s">
        <v>249</v>
      </c>
      <c r="K888" t="s">
        <v>74</v>
      </c>
      <c r="L888" t="s">
        <v>75</v>
      </c>
      <c r="M888" t="s">
        <v>2764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</row>
    <row r="889" spans="1:22" x14ac:dyDescent="0.3">
      <c r="A889" t="s">
        <v>2765</v>
      </c>
      <c r="B889" s="4">
        <v>45632</v>
      </c>
      <c r="C889" s="4">
        <v>45461</v>
      </c>
      <c r="D889" s="5">
        <f t="shared" si="13"/>
        <v>-171</v>
      </c>
      <c r="E889" t="s">
        <v>2766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2767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</row>
    <row r="890" spans="1:22" x14ac:dyDescent="0.3">
      <c r="A890" t="s">
        <v>2768</v>
      </c>
      <c r="B890" s="4">
        <v>45816</v>
      </c>
      <c r="C890" s="4">
        <v>45846</v>
      </c>
      <c r="D890" s="5">
        <f t="shared" si="13"/>
        <v>30</v>
      </c>
      <c r="E890" t="s">
        <v>2769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2770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</row>
    <row r="891" spans="1:22" x14ac:dyDescent="0.3">
      <c r="A891" t="s">
        <v>2771</v>
      </c>
      <c r="B891" s="3">
        <v>45933</v>
      </c>
      <c r="C891" s="4">
        <v>45727</v>
      </c>
      <c r="D891" s="5">
        <f t="shared" si="13"/>
        <v>-206</v>
      </c>
      <c r="E891" t="s">
        <v>898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2772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</row>
    <row r="892" spans="1:22" x14ac:dyDescent="0.3">
      <c r="A892" t="s">
        <v>2773</v>
      </c>
      <c r="B892" s="4">
        <v>45427</v>
      </c>
      <c r="C892" s="4">
        <v>45433</v>
      </c>
      <c r="D892" s="5">
        <f t="shared" si="13"/>
        <v>6</v>
      </c>
      <c r="E892" t="s">
        <v>2774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2775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</row>
    <row r="893" spans="1:22" x14ac:dyDescent="0.3">
      <c r="A893" t="s">
        <v>2776</v>
      </c>
      <c r="B893" s="3">
        <v>45514</v>
      </c>
      <c r="C893" s="4">
        <v>45545</v>
      </c>
      <c r="D893" s="5">
        <f t="shared" si="13"/>
        <v>31</v>
      </c>
      <c r="E893" t="s">
        <v>2777</v>
      </c>
      <c r="F893" t="s">
        <v>265</v>
      </c>
      <c r="G893" t="s">
        <v>90</v>
      </c>
      <c r="H893" t="s">
        <v>54</v>
      </c>
      <c r="I893" t="s">
        <v>248</v>
      </c>
      <c r="J893" t="s">
        <v>249</v>
      </c>
      <c r="K893" t="s">
        <v>74</v>
      </c>
      <c r="L893" t="s">
        <v>275</v>
      </c>
      <c r="M893" t="s">
        <v>2778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</row>
    <row r="894" spans="1:22" x14ac:dyDescent="0.3">
      <c r="A894" t="s">
        <v>2779</v>
      </c>
      <c r="B894" s="4">
        <v>45759</v>
      </c>
      <c r="C894" s="4">
        <v>45765</v>
      </c>
      <c r="D894" s="5">
        <f t="shared" si="13"/>
        <v>6</v>
      </c>
      <c r="E894" t="s">
        <v>2780</v>
      </c>
      <c r="F894" t="s">
        <v>47</v>
      </c>
      <c r="G894" t="s">
        <v>37</v>
      </c>
      <c r="H894" t="s">
        <v>38</v>
      </c>
      <c r="I894" t="s">
        <v>229</v>
      </c>
      <c r="J894" t="s">
        <v>230</v>
      </c>
      <c r="K894" t="s">
        <v>74</v>
      </c>
      <c r="L894" t="s">
        <v>80</v>
      </c>
      <c r="M894" t="s">
        <v>2781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</row>
    <row r="895" spans="1:22" x14ac:dyDescent="0.3">
      <c r="A895" t="s">
        <v>2782</v>
      </c>
      <c r="B895" s="3">
        <v>45449</v>
      </c>
      <c r="C895" s="3">
        <v>45510</v>
      </c>
      <c r="D895" s="5">
        <f t="shared" si="13"/>
        <v>61</v>
      </c>
      <c r="E895" t="s">
        <v>2783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2784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</row>
    <row r="896" spans="1:22" x14ac:dyDescent="0.3">
      <c r="A896" t="s">
        <v>2785</v>
      </c>
      <c r="B896" s="3">
        <v>45344</v>
      </c>
      <c r="C896" s="4">
        <v>45351</v>
      </c>
      <c r="D896" s="5">
        <f t="shared" si="13"/>
        <v>7</v>
      </c>
      <c r="E896" t="s">
        <v>2786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2787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</row>
    <row r="897" spans="1:22" x14ac:dyDescent="0.3">
      <c r="A897" t="s">
        <v>2788</v>
      </c>
      <c r="B897" s="3">
        <v>45423</v>
      </c>
      <c r="C897" s="4">
        <v>45606</v>
      </c>
      <c r="D897" s="5">
        <f t="shared" si="13"/>
        <v>183</v>
      </c>
      <c r="E897" t="s">
        <v>2789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2790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</row>
    <row r="898" spans="1:22" x14ac:dyDescent="0.3">
      <c r="A898" t="s">
        <v>2791</v>
      </c>
      <c r="B898" s="4">
        <v>45650</v>
      </c>
      <c r="C898" s="4">
        <v>45651</v>
      </c>
      <c r="D898" s="5">
        <f t="shared" si="13"/>
        <v>1</v>
      </c>
      <c r="E898" t="s">
        <v>2792</v>
      </c>
      <c r="F898" t="s">
        <v>62</v>
      </c>
      <c r="G898" t="s">
        <v>37</v>
      </c>
      <c r="H898" t="s">
        <v>54</v>
      </c>
      <c r="I898" t="s">
        <v>248</v>
      </c>
      <c r="J898" t="s">
        <v>249</v>
      </c>
      <c r="K898" t="s">
        <v>74</v>
      </c>
      <c r="L898" t="s">
        <v>80</v>
      </c>
      <c r="M898" t="s">
        <v>2793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</row>
    <row r="899" spans="1:22" x14ac:dyDescent="0.3">
      <c r="A899" t="s">
        <v>2794</v>
      </c>
      <c r="B899" s="4">
        <v>45776</v>
      </c>
      <c r="C899" s="3">
        <v>45721</v>
      </c>
      <c r="D899" s="5">
        <f t="shared" ref="D899:D913" si="14">C899-B899</f>
        <v>-55</v>
      </c>
      <c r="E899" t="s">
        <v>2153</v>
      </c>
      <c r="F899" t="s">
        <v>141</v>
      </c>
      <c r="G899" t="s">
        <v>90</v>
      </c>
      <c r="H899" t="s">
        <v>25</v>
      </c>
      <c r="I899" t="s">
        <v>237</v>
      </c>
      <c r="J899" t="s">
        <v>238</v>
      </c>
      <c r="K899" t="s">
        <v>28</v>
      </c>
      <c r="L899" t="s">
        <v>29</v>
      </c>
      <c r="M899" t="s">
        <v>2795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</row>
    <row r="900" spans="1:22" x14ac:dyDescent="0.3">
      <c r="A900" t="s">
        <v>2796</v>
      </c>
      <c r="B900" s="4">
        <v>45328</v>
      </c>
      <c r="C900" s="4">
        <v>45451</v>
      </c>
      <c r="D900" s="5">
        <f t="shared" si="14"/>
        <v>123</v>
      </c>
      <c r="E900" t="s">
        <v>2797</v>
      </c>
      <c r="F900" t="s">
        <v>71</v>
      </c>
      <c r="G900" t="s">
        <v>24</v>
      </c>
      <c r="H900" t="s">
        <v>25</v>
      </c>
      <c r="I900" t="s">
        <v>351</v>
      </c>
      <c r="J900" t="s">
        <v>352</v>
      </c>
      <c r="K900" t="s">
        <v>41</v>
      </c>
      <c r="L900" t="s">
        <v>42</v>
      </c>
      <c r="M900" t="s">
        <v>2798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</row>
    <row r="901" spans="1:22" x14ac:dyDescent="0.3">
      <c r="A901" t="s">
        <v>2799</v>
      </c>
      <c r="B901" s="3">
        <v>45804</v>
      </c>
      <c r="C901" s="4">
        <v>45811</v>
      </c>
      <c r="D901" s="5">
        <f t="shared" si="14"/>
        <v>7</v>
      </c>
      <c r="E901" t="s">
        <v>2800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2801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</row>
    <row r="902" spans="1:22" x14ac:dyDescent="0.3">
      <c r="A902" t="s">
        <v>1114</v>
      </c>
      <c r="B902" s="4">
        <v>45394</v>
      </c>
      <c r="C902" s="4">
        <v>45455</v>
      </c>
      <c r="D902" s="5">
        <f t="shared" si="14"/>
        <v>61</v>
      </c>
      <c r="E902" t="s">
        <v>1115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1116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</row>
    <row r="903" spans="1:22" x14ac:dyDescent="0.3">
      <c r="A903" t="s">
        <v>381</v>
      </c>
      <c r="B903" s="4">
        <v>45893</v>
      </c>
      <c r="C903" s="3">
        <v>45898</v>
      </c>
      <c r="D903" s="5">
        <f t="shared" si="14"/>
        <v>5</v>
      </c>
      <c r="E903" t="s">
        <v>382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383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</row>
    <row r="904" spans="1:22" x14ac:dyDescent="0.3">
      <c r="A904" t="s">
        <v>1240</v>
      </c>
      <c r="B904" s="4">
        <v>45760</v>
      </c>
      <c r="C904" s="4">
        <v>45760</v>
      </c>
      <c r="D904" s="5">
        <f t="shared" si="14"/>
        <v>0</v>
      </c>
      <c r="E904" t="s">
        <v>1241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1242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</row>
    <row r="905" spans="1:22" x14ac:dyDescent="0.3">
      <c r="A905" t="s">
        <v>792</v>
      </c>
      <c r="B905" s="4">
        <v>45932</v>
      </c>
      <c r="C905" s="3">
        <v>45879</v>
      </c>
      <c r="D905" s="5">
        <f t="shared" si="14"/>
        <v>-53</v>
      </c>
      <c r="E905" t="s">
        <v>793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794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</row>
    <row r="906" spans="1:22" x14ac:dyDescent="0.3">
      <c r="A906" t="s">
        <v>1064</v>
      </c>
      <c r="B906" s="4">
        <v>45795</v>
      </c>
      <c r="C906" s="3">
        <v>45797</v>
      </c>
      <c r="D906" s="5">
        <f t="shared" si="14"/>
        <v>2</v>
      </c>
      <c r="E906" t="s">
        <v>1065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1066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</row>
    <row r="907" spans="1:22" x14ac:dyDescent="0.3">
      <c r="A907" t="s">
        <v>627</v>
      </c>
      <c r="B907" s="4">
        <v>45847</v>
      </c>
      <c r="C907" s="4">
        <v>45915</v>
      </c>
      <c r="D907" s="5">
        <f t="shared" si="14"/>
        <v>68</v>
      </c>
      <c r="E907" t="s">
        <v>628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629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</row>
    <row r="908" spans="1:22" x14ac:dyDescent="0.3">
      <c r="A908" t="s">
        <v>1393</v>
      </c>
      <c r="B908" s="4">
        <v>45342</v>
      </c>
      <c r="C908" s="4">
        <v>45349</v>
      </c>
      <c r="D908" s="5">
        <f t="shared" si="14"/>
        <v>7</v>
      </c>
      <c r="E908" t="s">
        <v>1394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1395</v>
      </c>
      <c r="N908" t="s">
        <v>1396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</row>
    <row r="909" spans="1:22" x14ac:dyDescent="0.3">
      <c r="A909" t="s">
        <v>1838</v>
      </c>
      <c r="B909" s="3">
        <v>45932</v>
      </c>
      <c r="C909" s="4">
        <v>45702</v>
      </c>
      <c r="D909" s="5">
        <f t="shared" si="14"/>
        <v>-230</v>
      </c>
      <c r="E909" t="s">
        <v>1839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1840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</row>
    <row r="910" spans="1:22" x14ac:dyDescent="0.3">
      <c r="A910" t="s">
        <v>541</v>
      </c>
      <c r="B910" s="3">
        <v>45381</v>
      </c>
      <c r="C910" s="3">
        <v>45377</v>
      </c>
      <c r="D910" s="5">
        <f t="shared" si="14"/>
        <v>-4</v>
      </c>
      <c r="E910" t="s">
        <v>542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543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</row>
    <row r="911" spans="1:22" x14ac:dyDescent="0.3">
      <c r="A911" t="s">
        <v>938</v>
      </c>
      <c r="B911" s="4">
        <v>45522</v>
      </c>
      <c r="C911" s="3">
        <v>45528</v>
      </c>
      <c r="D911" s="5">
        <f t="shared" si="14"/>
        <v>6</v>
      </c>
      <c r="E911" t="s">
        <v>939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940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</row>
    <row r="912" spans="1:22" x14ac:dyDescent="0.3">
      <c r="A912" t="s">
        <v>482</v>
      </c>
      <c r="B912" s="4">
        <v>45436</v>
      </c>
      <c r="C912" s="3">
        <v>45437</v>
      </c>
      <c r="D912" s="5">
        <f t="shared" si="14"/>
        <v>1</v>
      </c>
      <c r="E912" t="s">
        <v>483</v>
      </c>
      <c r="F912" t="s">
        <v>132</v>
      </c>
      <c r="G912" t="s">
        <v>37</v>
      </c>
      <c r="H912" t="s">
        <v>484</v>
      </c>
      <c r="I912" t="s">
        <v>122</v>
      </c>
      <c r="J912" t="s">
        <v>123</v>
      </c>
      <c r="K912" t="s">
        <v>74</v>
      </c>
      <c r="L912" t="s">
        <v>80</v>
      </c>
      <c r="M912" t="s">
        <v>485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</row>
    <row r="913" spans="1:22" x14ac:dyDescent="0.3">
      <c r="A913" t="s">
        <v>1127</v>
      </c>
      <c r="B913" s="4">
        <v>45824</v>
      </c>
      <c r="C913" s="3">
        <v>45826</v>
      </c>
      <c r="D913" s="5">
        <f t="shared" si="14"/>
        <v>2</v>
      </c>
      <c r="E913" t="s">
        <v>1128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1129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</row>
  </sheetData>
  <autoFilter ref="A1:V913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2" width="28" customWidth="1"/>
  </cols>
  <sheetData>
    <row r="1" spans="1:2" ht="22.35" customHeight="1" x14ac:dyDescent="0.3">
      <c r="A1" s="1" t="s">
        <v>2802</v>
      </c>
      <c r="B1" s="1" t="s">
        <v>2803</v>
      </c>
    </row>
    <row r="2" spans="1:2" ht="43.2" x14ac:dyDescent="0.3">
      <c r="A2" s="2" t="s">
        <v>2804</v>
      </c>
      <c r="B2" s="2" t="s">
        <v>2805</v>
      </c>
    </row>
    <row r="3" spans="1:2" ht="28.8" x14ac:dyDescent="0.3">
      <c r="A3" s="2" t="s">
        <v>2806</v>
      </c>
      <c r="B3" s="2" t="s">
        <v>2807</v>
      </c>
    </row>
    <row r="4" spans="1:2" ht="28.8" x14ac:dyDescent="0.3">
      <c r="A4" s="2" t="s">
        <v>2808</v>
      </c>
      <c r="B4" s="2" t="s">
        <v>2807</v>
      </c>
    </row>
    <row r="5" spans="1:2" ht="28.8" x14ac:dyDescent="0.3">
      <c r="A5" s="2" t="s">
        <v>2809</v>
      </c>
      <c r="B5" s="2" t="s">
        <v>2810</v>
      </c>
    </row>
    <row r="6" spans="1:2" ht="43.2" x14ac:dyDescent="0.3">
      <c r="A6" s="2" t="s">
        <v>2811</v>
      </c>
      <c r="B6" s="2" t="s">
        <v>2812</v>
      </c>
    </row>
    <row r="7" spans="1:2" ht="57.6" x14ac:dyDescent="0.3">
      <c r="A7" s="2" t="s">
        <v>2813</v>
      </c>
      <c r="B7" s="2" t="s">
        <v>2814</v>
      </c>
    </row>
    <row r="8" spans="1:2" ht="28.8" x14ac:dyDescent="0.3">
      <c r="A8" s="2" t="s">
        <v>2815</v>
      </c>
      <c r="B8" s="2" t="s">
        <v>2816</v>
      </c>
    </row>
    <row r="9" spans="1:2" ht="43.2" x14ac:dyDescent="0.3">
      <c r="A9" s="2" t="s">
        <v>2817</v>
      </c>
      <c r="B9" s="2" t="s">
        <v>2818</v>
      </c>
    </row>
    <row r="10" spans="1:2" ht="72" x14ac:dyDescent="0.3">
      <c r="A10" s="2" t="s">
        <v>2819</v>
      </c>
      <c r="B10" s="2" t="s">
        <v>2820</v>
      </c>
    </row>
    <row r="11" spans="1:2" ht="43.2" x14ac:dyDescent="0.3">
      <c r="A11" s="2" t="s">
        <v>2821</v>
      </c>
      <c r="B11" s="2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Region Sales</vt:lpstr>
      <vt:lpstr>Sales by category</vt:lpstr>
      <vt:lpstr>Profit by state</vt:lpstr>
      <vt:lpstr>Customer segment analysis</vt:lpstr>
      <vt:lpstr>Monthly Sales Trend</vt:lpstr>
      <vt:lpstr>Payment Status</vt:lpstr>
      <vt:lpstr>Dashboard</vt:lpstr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shivnath</dc:creator>
  <cp:lastModifiedBy>Shivnath rao</cp:lastModifiedBy>
  <dcterms:created xsi:type="dcterms:W3CDTF">2026-06-27T08:13:46Z</dcterms:created>
  <dcterms:modified xsi:type="dcterms:W3CDTF">2026-06-28T05:27:35Z</dcterms:modified>
</cp:coreProperties>
</file>